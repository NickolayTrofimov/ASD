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ming\ASD\"/>
    </mc:Choice>
  </mc:AlternateContent>
  <bookViews>
    <workbookView xWindow="0" yWindow="0" windowWidth="23040" windowHeight="10632"/>
  </bookViews>
  <sheets>
    <sheet name="results_rb" sheetId="1" r:id="rId1"/>
  </sheets>
  <calcPr calcId="162913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</calcChain>
</file>

<file path=xl/sharedStrings.xml><?xml version="1.0" encoding="utf-8"?>
<sst xmlns="http://schemas.openxmlformats.org/spreadsheetml/2006/main" count="11" uniqueCount="11">
  <si>
    <t>Size</t>
  </si>
  <si>
    <t>InsertTimeUs</t>
  </si>
  <si>
    <t>SearchTimeUs</t>
  </si>
  <si>
    <t>DeleteTimeUs</t>
  </si>
  <si>
    <t>BfsTimeUs</t>
  </si>
  <si>
    <t>DfsTimeUs</t>
  </si>
  <si>
    <t>Теоретическая для вставки</t>
  </si>
  <si>
    <t>Теоретическая для поиска</t>
  </si>
  <si>
    <t>Теоретическая для удаления</t>
  </si>
  <si>
    <t>Теоретическая для ширины</t>
  </si>
  <si>
    <t>Теоретическая для глубины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</si>
</sst>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вставки от кол-ва элементов</a:t>
            </a:r>
          </a:p>
        </c:rich>
      </c:tx>
      <c:layout>
        <c:manualLayout>
          <c:xMode val="edge"/>
          <c:yMode val="edge"/>
          <c:x val="0.19486815062680876"/>
          <c:y val="1.8765433922954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results_rb!$B$1</c:f>
              <c:strCache>
                <c:ptCount val="1"/>
                <c:pt idx="0">
                  <c:v>InsertTimeUs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results_rb!$B$2:$B$71</c:f>
              <c:numCache>
                <c:formatCode>General</c:formatCode>
                <c:ptCount val="70"/>
                <c:pt idx="0">
                  <c:v>71</c:v>
                </c:pt>
                <c:pt idx="1">
                  <c:v>124</c:v>
                </c:pt>
                <c:pt idx="2">
                  <c:v>250</c:v>
                </c:pt>
                <c:pt idx="3">
                  <c:v>285</c:v>
                </c:pt>
                <c:pt idx="4">
                  <c:v>319</c:v>
                </c:pt>
                <c:pt idx="5">
                  <c:v>568</c:v>
                </c:pt>
                <c:pt idx="6">
                  <c:v>751</c:v>
                </c:pt>
                <c:pt idx="7">
                  <c:v>1602</c:v>
                </c:pt>
                <c:pt idx="8">
                  <c:v>962</c:v>
                </c:pt>
                <c:pt idx="9">
                  <c:v>1162</c:v>
                </c:pt>
                <c:pt idx="10">
                  <c:v>1295</c:v>
                </c:pt>
                <c:pt idx="11">
                  <c:v>1323</c:v>
                </c:pt>
                <c:pt idx="12">
                  <c:v>1656</c:v>
                </c:pt>
                <c:pt idx="13">
                  <c:v>2644</c:v>
                </c:pt>
                <c:pt idx="14">
                  <c:v>2732</c:v>
                </c:pt>
                <c:pt idx="15">
                  <c:v>2679</c:v>
                </c:pt>
                <c:pt idx="16">
                  <c:v>3082</c:v>
                </c:pt>
                <c:pt idx="17">
                  <c:v>4139</c:v>
                </c:pt>
                <c:pt idx="18">
                  <c:v>4341</c:v>
                </c:pt>
                <c:pt idx="19">
                  <c:v>5348</c:v>
                </c:pt>
                <c:pt idx="20">
                  <c:v>5221</c:v>
                </c:pt>
                <c:pt idx="21">
                  <c:v>5488</c:v>
                </c:pt>
                <c:pt idx="22">
                  <c:v>6312</c:v>
                </c:pt>
                <c:pt idx="23">
                  <c:v>5781</c:v>
                </c:pt>
                <c:pt idx="24">
                  <c:v>6963</c:v>
                </c:pt>
                <c:pt idx="25">
                  <c:v>6916</c:v>
                </c:pt>
                <c:pt idx="26">
                  <c:v>6702</c:v>
                </c:pt>
                <c:pt idx="27">
                  <c:v>5852</c:v>
                </c:pt>
                <c:pt idx="28">
                  <c:v>9123</c:v>
                </c:pt>
                <c:pt idx="29">
                  <c:v>9522</c:v>
                </c:pt>
                <c:pt idx="30">
                  <c:v>8379</c:v>
                </c:pt>
                <c:pt idx="31">
                  <c:v>8042</c:v>
                </c:pt>
                <c:pt idx="32">
                  <c:v>7541</c:v>
                </c:pt>
                <c:pt idx="33">
                  <c:v>7670</c:v>
                </c:pt>
                <c:pt idx="34">
                  <c:v>7900</c:v>
                </c:pt>
                <c:pt idx="35">
                  <c:v>7387</c:v>
                </c:pt>
                <c:pt idx="36">
                  <c:v>11158</c:v>
                </c:pt>
                <c:pt idx="37">
                  <c:v>8492</c:v>
                </c:pt>
                <c:pt idx="38">
                  <c:v>8506</c:v>
                </c:pt>
                <c:pt idx="39">
                  <c:v>8828</c:v>
                </c:pt>
                <c:pt idx="40">
                  <c:v>10343</c:v>
                </c:pt>
                <c:pt idx="41">
                  <c:v>9560</c:v>
                </c:pt>
                <c:pt idx="42">
                  <c:v>10618</c:v>
                </c:pt>
                <c:pt idx="43">
                  <c:v>12624</c:v>
                </c:pt>
                <c:pt idx="44">
                  <c:v>10940</c:v>
                </c:pt>
                <c:pt idx="45">
                  <c:v>11606</c:v>
                </c:pt>
                <c:pt idx="46">
                  <c:v>13004</c:v>
                </c:pt>
                <c:pt idx="47">
                  <c:v>14355</c:v>
                </c:pt>
                <c:pt idx="48">
                  <c:v>17664</c:v>
                </c:pt>
                <c:pt idx="49">
                  <c:v>16404</c:v>
                </c:pt>
                <c:pt idx="50">
                  <c:v>14156</c:v>
                </c:pt>
                <c:pt idx="51">
                  <c:v>17531</c:v>
                </c:pt>
                <c:pt idx="52">
                  <c:v>17123</c:v>
                </c:pt>
                <c:pt idx="53">
                  <c:v>27333</c:v>
                </c:pt>
                <c:pt idx="54">
                  <c:v>16328</c:v>
                </c:pt>
                <c:pt idx="55">
                  <c:v>30268</c:v>
                </c:pt>
                <c:pt idx="56">
                  <c:v>15477</c:v>
                </c:pt>
                <c:pt idx="57">
                  <c:v>20361</c:v>
                </c:pt>
                <c:pt idx="58">
                  <c:v>15793</c:v>
                </c:pt>
                <c:pt idx="59">
                  <c:v>18386</c:v>
                </c:pt>
                <c:pt idx="60">
                  <c:v>20943</c:v>
                </c:pt>
                <c:pt idx="61">
                  <c:v>18657</c:v>
                </c:pt>
                <c:pt idx="62">
                  <c:v>24407</c:v>
                </c:pt>
                <c:pt idx="63">
                  <c:v>22827</c:v>
                </c:pt>
                <c:pt idx="64">
                  <c:v>18214</c:v>
                </c:pt>
                <c:pt idx="65">
                  <c:v>23997</c:v>
                </c:pt>
                <c:pt idx="66">
                  <c:v>29381</c:v>
                </c:pt>
                <c:pt idx="67">
                  <c:v>26904</c:v>
                </c:pt>
                <c:pt idx="68">
                  <c:v>20328</c:v>
                </c:pt>
                <c:pt idx="69">
                  <c:v>28780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25-4FBE-8ECA-0635CB6C9F09}"/>
            </c:ext>
          </c:extLst>
        </c:ser>
        <c:ser>
          <c:idx val="1"/>
          <c:order val="1"/>
          <c:tx>
            <c:strRef>
              <c:f>results_rb!$G$1</c:f>
              <c:strCache>
                <c:ptCount val="1"/>
                <c:pt idx="0">
                  <c:v>Теоретическая для вставки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results_rb!$G$2:$G$71</c:f>
              <c:numCache>
                <c:formatCode>General</c:formatCode>
                <c:ptCount val="70"/>
                <c:pt idx="0">
                  <c:v>84.170260545414394</c:v>
                </c:pt>
                <c:pt idx="1">
                  <c:v>108.59924496847202</c:v>
                </c:pt>
                <c:pt idx="2">
                  <c:v>276.47000444091049</c:v>
                </c:pt>
                <c:pt idx="3">
                  <c:v>319.08701390281169</c:v>
                </c:pt>
                <c:pt idx="4">
                  <c:v>361.10485185597037</c:v>
                </c:pt>
                <c:pt idx="5">
                  <c:v>682.41618520816075</c:v>
                </c:pt>
                <c:pt idx="6">
                  <c:v>779.81568201752123</c:v>
                </c:pt>
                <c:pt idx="7">
                  <c:v>947.2856973495135</c:v>
                </c:pt>
                <c:pt idx="8">
                  <c:v>1092.8669464896757</c:v>
                </c:pt>
                <c:pt idx="9">
                  <c:v>1199.1355236766246</c:v>
                </c:pt>
                <c:pt idx="10">
                  <c:v>1423.1870020556087</c:v>
                </c:pt>
                <c:pt idx="11">
                  <c:v>1539.0347715799098</c:v>
                </c:pt>
                <c:pt idx="12">
                  <c:v>1675.3321933423431</c:v>
                </c:pt>
                <c:pt idx="13">
                  <c:v>2573.8851209767527</c:v>
                </c:pt>
                <c:pt idx="14">
                  <c:v>2614.1425573034376</c:v>
                </c:pt>
                <c:pt idx="15">
                  <c:v>2795.6210315548019</c:v>
                </c:pt>
                <c:pt idx="16">
                  <c:v>3088.5904706588785</c:v>
                </c:pt>
                <c:pt idx="17">
                  <c:v>4031.9948576430925</c:v>
                </c:pt>
                <c:pt idx="18">
                  <c:v>4192.4541445759387</c:v>
                </c:pt>
                <c:pt idx="19">
                  <c:v>4306.5377166609405</c:v>
                </c:pt>
                <c:pt idx="20">
                  <c:v>4661.8580254603385</c:v>
                </c:pt>
                <c:pt idx="21">
                  <c:v>4886.7607377087361</c:v>
                </c:pt>
                <c:pt idx="22">
                  <c:v>5467.0940098207802</c:v>
                </c:pt>
                <c:pt idx="23">
                  <c:v>5541.0928975174147</c:v>
                </c:pt>
                <c:pt idx="24">
                  <c:v>5556.5330822941141</c:v>
                </c:pt>
                <c:pt idx="25">
                  <c:v>6004.0749999998379</c:v>
                </c:pt>
                <c:pt idx="26">
                  <c:v>6020.1146960394799</c:v>
                </c:pt>
                <c:pt idx="27">
                  <c:v>6136.5028248108028</c:v>
                </c:pt>
                <c:pt idx="28">
                  <c:v>6256.5847623003383</c:v>
                </c:pt>
                <c:pt idx="29">
                  <c:v>6640.1323051279878</c:v>
                </c:pt>
                <c:pt idx="30">
                  <c:v>6715.4360838796038</c:v>
                </c:pt>
                <c:pt idx="31">
                  <c:v>6716.7844071204017</c:v>
                </c:pt>
                <c:pt idx="32">
                  <c:v>7091.2414698652246</c:v>
                </c:pt>
                <c:pt idx="33">
                  <c:v>7096.6578727131246</c:v>
                </c:pt>
                <c:pt idx="34">
                  <c:v>7138.9845983776186</c:v>
                </c:pt>
                <c:pt idx="35">
                  <c:v>7152.5332882287257</c:v>
                </c:pt>
                <c:pt idx="36">
                  <c:v>7420.1856856056675</c:v>
                </c:pt>
                <c:pt idx="37">
                  <c:v>7459.4304852658952</c:v>
                </c:pt>
                <c:pt idx="38">
                  <c:v>7539.1586068753722</c:v>
                </c:pt>
                <c:pt idx="39">
                  <c:v>7823.5795506675195</c:v>
                </c:pt>
                <c:pt idx="40">
                  <c:v>7876.6360687419374</c:v>
                </c:pt>
                <c:pt idx="41">
                  <c:v>8093.583193115498</c:v>
                </c:pt>
                <c:pt idx="42">
                  <c:v>8603.186176848496</c:v>
                </c:pt>
                <c:pt idx="43">
                  <c:v>9218.7123494955813</c:v>
                </c:pt>
                <c:pt idx="44">
                  <c:v>9635.5122103993472</c:v>
                </c:pt>
                <c:pt idx="45">
                  <c:v>9747.5187689463328</c:v>
                </c:pt>
                <c:pt idx="46">
                  <c:v>10066.21221091281</c:v>
                </c:pt>
                <c:pt idx="47">
                  <c:v>10306.217629775905</c:v>
                </c:pt>
                <c:pt idx="48">
                  <c:v>10483.143620511259</c:v>
                </c:pt>
                <c:pt idx="49">
                  <c:v>10702.741696109211</c:v>
                </c:pt>
                <c:pt idx="50">
                  <c:v>10845.71666125485</c:v>
                </c:pt>
                <c:pt idx="51">
                  <c:v>11034.528931075432</c:v>
                </c:pt>
                <c:pt idx="52">
                  <c:v>11377.25129912235</c:v>
                </c:pt>
                <c:pt idx="53">
                  <c:v>11657.61882094447</c:v>
                </c:pt>
                <c:pt idx="54">
                  <c:v>12552.997799654397</c:v>
                </c:pt>
                <c:pt idx="55">
                  <c:v>12939.945540502002</c:v>
                </c:pt>
                <c:pt idx="56">
                  <c:v>13000.208092215194</c:v>
                </c:pt>
                <c:pt idx="57">
                  <c:v>13082.482442810933</c:v>
                </c:pt>
                <c:pt idx="58">
                  <c:v>13193.010741873188</c:v>
                </c:pt>
                <c:pt idx="59">
                  <c:v>13482.342211432318</c:v>
                </c:pt>
                <c:pt idx="60">
                  <c:v>13631.007290206306</c:v>
                </c:pt>
                <c:pt idx="61">
                  <c:v>14053.11547817077</c:v>
                </c:pt>
                <c:pt idx="62">
                  <c:v>14088.24501154777</c:v>
                </c:pt>
                <c:pt idx="63">
                  <c:v>14786.098827076867</c:v>
                </c:pt>
                <c:pt idx="64">
                  <c:v>15085.218312366258</c:v>
                </c:pt>
                <c:pt idx="65">
                  <c:v>15178.806101895845</c:v>
                </c:pt>
                <c:pt idx="66">
                  <c:v>15303.297340441346</c:v>
                </c:pt>
                <c:pt idx="67">
                  <c:v>16247.622626566696</c:v>
                </c:pt>
                <c:pt idx="68">
                  <c:v>16310.171588511826</c:v>
                </c:pt>
                <c:pt idx="69">
                  <c:v>16424.319333111198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25-4FBE-8ECA-0635CB6C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00479"/>
        <c:axId val="1262800895"/>
      </c:scatterChart>
      <c:valAx>
        <c:axId val="126280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Суммарное время вставки всех </a:t>
                </a:r>
                <a:r>
                  <a:rPr lang="en-US"/>
                  <a:t>N </a:t>
                </a:r>
                <a:r>
                  <a:rPr lang="ru-RU"/>
                  <a:t>элементов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800895"/>
        <c:crosses val="autoZero"/>
        <c:crossBetween val="midCat"/>
      </c:valAx>
      <c:valAx>
        <c:axId val="12628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80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</a:t>
            </a:r>
            <a:r>
              <a:rPr lang="ru-RU" baseline="0"/>
              <a:t> поиска от кол-ва элементов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results_rb!$C$1</c:f>
              <c:strCache>
                <c:ptCount val="1"/>
                <c:pt idx="0">
                  <c:v>SearchTimeUs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results_rb!$C$2:$C$71</c:f>
              <c:numCache>
                <c:formatCode>General</c:formatCode>
                <c:ptCount val="70"/>
                <c:pt idx="0">
                  <c:v>52</c:v>
                </c:pt>
                <c:pt idx="1">
                  <c:v>80</c:v>
                </c:pt>
                <c:pt idx="2">
                  <c:v>70</c:v>
                </c:pt>
                <c:pt idx="3">
                  <c:v>74</c:v>
                </c:pt>
                <c:pt idx="4">
                  <c:v>75</c:v>
                </c:pt>
                <c:pt idx="5">
                  <c:v>76</c:v>
                </c:pt>
                <c:pt idx="6">
                  <c:v>92</c:v>
                </c:pt>
                <c:pt idx="7">
                  <c:v>170</c:v>
                </c:pt>
                <c:pt idx="8">
                  <c:v>89</c:v>
                </c:pt>
                <c:pt idx="9">
                  <c:v>92</c:v>
                </c:pt>
                <c:pt idx="10">
                  <c:v>98</c:v>
                </c:pt>
                <c:pt idx="11">
                  <c:v>96</c:v>
                </c:pt>
                <c:pt idx="12">
                  <c:v>152</c:v>
                </c:pt>
                <c:pt idx="13">
                  <c:v>148</c:v>
                </c:pt>
                <c:pt idx="14">
                  <c:v>139</c:v>
                </c:pt>
                <c:pt idx="15">
                  <c:v>154</c:v>
                </c:pt>
                <c:pt idx="16">
                  <c:v>187</c:v>
                </c:pt>
                <c:pt idx="17">
                  <c:v>238</c:v>
                </c:pt>
                <c:pt idx="18">
                  <c:v>193</c:v>
                </c:pt>
                <c:pt idx="19">
                  <c:v>221</c:v>
                </c:pt>
                <c:pt idx="20">
                  <c:v>216</c:v>
                </c:pt>
                <c:pt idx="21">
                  <c:v>262</c:v>
                </c:pt>
                <c:pt idx="22">
                  <c:v>281</c:v>
                </c:pt>
                <c:pt idx="23">
                  <c:v>196</c:v>
                </c:pt>
                <c:pt idx="24">
                  <c:v>262</c:v>
                </c:pt>
                <c:pt idx="25">
                  <c:v>249</c:v>
                </c:pt>
                <c:pt idx="26">
                  <c:v>188</c:v>
                </c:pt>
                <c:pt idx="27">
                  <c:v>195</c:v>
                </c:pt>
                <c:pt idx="28">
                  <c:v>305</c:v>
                </c:pt>
                <c:pt idx="29">
                  <c:v>376</c:v>
                </c:pt>
                <c:pt idx="30">
                  <c:v>212</c:v>
                </c:pt>
                <c:pt idx="31">
                  <c:v>246</c:v>
                </c:pt>
                <c:pt idx="32">
                  <c:v>233</c:v>
                </c:pt>
                <c:pt idx="33">
                  <c:v>271</c:v>
                </c:pt>
                <c:pt idx="34">
                  <c:v>325</c:v>
                </c:pt>
                <c:pt idx="35">
                  <c:v>245</c:v>
                </c:pt>
                <c:pt idx="36">
                  <c:v>331</c:v>
                </c:pt>
                <c:pt idx="37">
                  <c:v>284</c:v>
                </c:pt>
                <c:pt idx="38">
                  <c:v>296</c:v>
                </c:pt>
                <c:pt idx="39">
                  <c:v>232</c:v>
                </c:pt>
                <c:pt idx="40">
                  <c:v>294</c:v>
                </c:pt>
                <c:pt idx="41">
                  <c:v>283</c:v>
                </c:pt>
                <c:pt idx="42">
                  <c:v>399</c:v>
                </c:pt>
                <c:pt idx="43">
                  <c:v>347</c:v>
                </c:pt>
                <c:pt idx="44">
                  <c:v>252</c:v>
                </c:pt>
                <c:pt idx="45">
                  <c:v>328</c:v>
                </c:pt>
                <c:pt idx="46">
                  <c:v>229</c:v>
                </c:pt>
                <c:pt idx="47">
                  <c:v>372</c:v>
                </c:pt>
                <c:pt idx="48">
                  <c:v>397</c:v>
                </c:pt>
                <c:pt idx="49">
                  <c:v>350</c:v>
                </c:pt>
                <c:pt idx="50">
                  <c:v>289</c:v>
                </c:pt>
                <c:pt idx="51">
                  <c:v>408</c:v>
                </c:pt>
                <c:pt idx="52">
                  <c:v>416</c:v>
                </c:pt>
                <c:pt idx="53">
                  <c:v>547</c:v>
                </c:pt>
                <c:pt idx="54">
                  <c:v>339</c:v>
                </c:pt>
                <c:pt idx="55">
                  <c:v>724</c:v>
                </c:pt>
                <c:pt idx="56">
                  <c:v>355</c:v>
                </c:pt>
                <c:pt idx="57">
                  <c:v>386</c:v>
                </c:pt>
                <c:pt idx="58">
                  <c:v>250</c:v>
                </c:pt>
                <c:pt idx="59">
                  <c:v>348</c:v>
                </c:pt>
                <c:pt idx="60">
                  <c:v>417</c:v>
                </c:pt>
                <c:pt idx="61">
                  <c:v>403</c:v>
                </c:pt>
                <c:pt idx="62">
                  <c:v>419</c:v>
                </c:pt>
                <c:pt idx="63">
                  <c:v>379</c:v>
                </c:pt>
                <c:pt idx="64">
                  <c:v>353</c:v>
                </c:pt>
                <c:pt idx="65">
                  <c:v>407</c:v>
                </c:pt>
                <c:pt idx="66">
                  <c:v>691</c:v>
                </c:pt>
                <c:pt idx="67">
                  <c:v>428</c:v>
                </c:pt>
                <c:pt idx="68">
                  <c:v>298</c:v>
                </c:pt>
                <c:pt idx="69">
                  <c:v>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F2-4690-BBB7-E95724F7E16C}"/>
            </c:ext>
          </c:extLst>
        </c:ser>
        <c:ser>
          <c:idx val="1"/>
          <c:order val="1"/>
          <c:tx>
            <c:strRef>
              <c:f>results_rb!$H$1</c:f>
              <c:strCache>
                <c:ptCount val="1"/>
                <c:pt idx="0">
                  <c:v>Теоретическая для поиска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results_rb!$H$2:$H$71</c:f>
              <c:numCache>
                <c:formatCode>General</c:formatCode>
                <c:ptCount val="70"/>
                <c:pt idx="0">
                  <c:v>68.272517244252683</c:v>
                </c:pt>
                <c:pt idx="1">
                  <c:v>70.518990239267538</c:v>
                </c:pt>
                <c:pt idx="2">
                  <c:v>78.830551164414388</c:v>
                </c:pt>
                <c:pt idx="3">
                  <c:v>80.115103921078969</c:v>
                </c:pt>
                <c:pt idx="4">
                  <c:v>81.225384414903345</c:v>
                </c:pt>
                <c:pt idx="5">
                  <c:v>86.963650035629456</c:v>
                </c:pt>
                <c:pt idx="6">
                  <c:v>88.171697207602136</c:v>
                </c:pt>
                <c:pt idx="7">
                  <c:v>89.936252291422676</c:v>
                </c:pt>
                <c:pt idx="8">
                  <c:v>91.235165479161964</c:v>
                </c:pt>
                <c:pt idx="9">
                  <c:v>92.079296464857094</c:v>
                </c:pt>
                <c:pt idx="10">
                  <c:v>93.639524526640287</c:v>
                </c:pt>
                <c:pt idx="11">
                  <c:v>94.353156428966258</c:v>
                </c:pt>
                <c:pt idx="12">
                  <c:v>95.12755802560352</c:v>
                </c:pt>
                <c:pt idx="13">
                  <c:v>99.055450254754348</c:v>
                </c:pt>
                <c:pt idx="14">
                  <c:v>99.197690145411514</c:v>
                </c:pt>
                <c:pt idx="15">
                  <c:v>99.813053253512265</c:v>
                </c:pt>
                <c:pt idx="16">
                  <c:v>100.72741937482365</c:v>
                </c:pt>
                <c:pt idx="17">
                  <c:v>103.17661854688959</c:v>
                </c:pt>
                <c:pt idx="18">
                  <c:v>103.53564654094751</c:v>
                </c:pt>
                <c:pt idx="19">
                  <c:v>103.78271083632244</c:v>
                </c:pt>
                <c:pt idx="20">
                  <c:v>104.51257423207267</c:v>
                </c:pt>
                <c:pt idx="21">
                  <c:v>104.94654138352861</c:v>
                </c:pt>
                <c:pt idx="22">
                  <c:v>105.98077559885202</c:v>
                </c:pt>
                <c:pt idx="23">
                  <c:v>106.1047441804954</c:v>
                </c:pt>
                <c:pt idx="24">
                  <c:v>106.13040349275231</c:v>
                </c:pt>
                <c:pt idx="25">
                  <c:v>106.84493847874431</c:v>
                </c:pt>
                <c:pt idx="26">
                  <c:v>106.86955485969861</c:v>
                </c:pt>
                <c:pt idx="27">
                  <c:v>107.04625142961427</c:v>
                </c:pt>
                <c:pt idx="28">
                  <c:v>107.2251030385662</c:v>
                </c:pt>
                <c:pt idx="29">
                  <c:v>107.77436035961769</c:v>
                </c:pt>
                <c:pt idx="30">
                  <c:v>107.87849130730288</c:v>
                </c:pt>
                <c:pt idx="31">
                  <c:v>107.88034520304434</c:v>
                </c:pt>
                <c:pt idx="32">
                  <c:v>108.38141984510168</c:v>
                </c:pt>
                <c:pt idx="33">
                  <c:v>108.38847335702539</c:v>
                </c:pt>
                <c:pt idx="34">
                  <c:v>108.4434099836017</c:v>
                </c:pt>
                <c:pt idx="35">
                  <c:v>108.46092677440552</c:v>
                </c:pt>
                <c:pt idx="36">
                  <c:v>108.80037662178398</c:v>
                </c:pt>
                <c:pt idx="37">
                  <c:v>108.84912425603233</c:v>
                </c:pt>
                <c:pt idx="38">
                  <c:v>108.94737871207185</c:v>
                </c:pt>
                <c:pt idx="39">
                  <c:v>109.28967642121859</c:v>
                </c:pt>
                <c:pt idx="40">
                  <c:v>109.35215977706424</c:v>
                </c:pt>
                <c:pt idx="41">
                  <c:v>109.60337844461993</c:v>
                </c:pt>
                <c:pt idx="42">
                  <c:v>110.16812388032247</c:v>
                </c:pt>
                <c:pt idx="43">
                  <c:v>110.8075389296651</c:v>
                </c:pt>
                <c:pt idx="44">
                  <c:v>111.21687411007393</c:v>
                </c:pt>
                <c:pt idx="45">
                  <c:v>111.32387812866986</c:v>
                </c:pt>
                <c:pt idx="46">
                  <c:v>111.62178699508875</c:v>
                </c:pt>
                <c:pt idx="47">
                  <c:v>111.84002016623467</c:v>
                </c:pt>
                <c:pt idx="48">
                  <c:v>111.99768828860795</c:v>
                </c:pt>
                <c:pt idx="49">
                  <c:v>112.1897480836258</c:v>
                </c:pt>
                <c:pt idx="50">
                  <c:v>112.3127011979584</c:v>
                </c:pt>
                <c:pt idx="51">
                  <c:v>112.47262874589089</c:v>
                </c:pt>
                <c:pt idx="52">
                  <c:v>112.75609731400723</c:v>
                </c:pt>
                <c:pt idx="53">
                  <c:v>112.9817543946326</c:v>
                </c:pt>
                <c:pt idx="54">
                  <c:v>113.66791876021057</c:v>
                </c:pt>
                <c:pt idx="55">
                  <c:v>113.94952734713868</c:v>
                </c:pt>
                <c:pt idx="56">
                  <c:v>113.99263023826127</c:v>
                </c:pt>
                <c:pt idx="57">
                  <c:v>114.05115773046458</c:v>
                </c:pt>
                <c:pt idx="58">
                  <c:v>114.12921129181679</c:v>
                </c:pt>
                <c:pt idx="59">
                  <c:v>114.33049714711161</c:v>
                </c:pt>
                <c:pt idx="60">
                  <c:v>114.4322596110048</c:v>
                </c:pt>
                <c:pt idx="61">
                  <c:v>114.7152966627353</c:v>
                </c:pt>
                <c:pt idx="62">
                  <c:v>114.7384701347695</c:v>
                </c:pt>
                <c:pt idx="63">
                  <c:v>115.18729054213193</c:v>
                </c:pt>
                <c:pt idx="64">
                  <c:v>115.37325807591702</c:v>
                </c:pt>
                <c:pt idx="65">
                  <c:v>115.43069128418968</c:v>
                </c:pt>
                <c:pt idx="66">
                  <c:v>115.50654653025535</c:v>
                </c:pt>
                <c:pt idx="67">
                  <c:v>116.06273752815699</c:v>
                </c:pt>
                <c:pt idx="68">
                  <c:v>116.09843514295585</c:v>
                </c:pt>
                <c:pt idx="69">
                  <c:v>116.1632317215588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F2-4690-BBB7-E95724F7E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097631"/>
        <c:axId val="1359106783"/>
      </c:scatterChart>
      <c:valAx>
        <c:axId val="135909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1000 операций поиска случайных элементов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106783"/>
        <c:crosses val="autoZero"/>
        <c:crossBetween val="midCat"/>
      </c:valAx>
      <c:valAx>
        <c:axId val="13591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09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Зависимость времени удаления от кол-ва элементов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results_rb!$D$1</c:f>
              <c:strCache>
                <c:ptCount val="1"/>
                <c:pt idx="0">
                  <c:v>DeleteTimeUs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results_rb!$D$2:$D$71</c:f>
              <c:numCache>
                <c:formatCode>General</c:formatCode>
                <c:ptCount val="70"/>
                <c:pt idx="0">
                  <c:v>57</c:v>
                </c:pt>
                <c:pt idx="1">
                  <c:v>216</c:v>
                </c:pt>
                <c:pt idx="2">
                  <c:v>96</c:v>
                </c:pt>
                <c:pt idx="3">
                  <c:v>82</c:v>
                </c:pt>
                <c:pt idx="4">
                  <c:v>84</c:v>
                </c:pt>
                <c:pt idx="5">
                  <c:v>85</c:v>
                </c:pt>
                <c:pt idx="6">
                  <c:v>108</c:v>
                </c:pt>
                <c:pt idx="7">
                  <c:v>136</c:v>
                </c:pt>
                <c:pt idx="8">
                  <c:v>98</c:v>
                </c:pt>
                <c:pt idx="9">
                  <c:v>104</c:v>
                </c:pt>
                <c:pt idx="10">
                  <c:v>108</c:v>
                </c:pt>
                <c:pt idx="11">
                  <c:v>105</c:v>
                </c:pt>
                <c:pt idx="12">
                  <c:v>191</c:v>
                </c:pt>
                <c:pt idx="13">
                  <c:v>135</c:v>
                </c:pt>
                <c:pt idx="14">
                  <c:v>127</c:v>
                </c:pt>
                <c:pt idx="15">
                  <c:v>174</c:v>
                </c:pt>
                <c:pt idx="16">
                  <c:v>138</c:v>
                </c:pt>
                <c:pt idx="17">
                  <c:v>224</c:v>
                </c:pt>
                <c:pt idx="18">
                  <c:v>148</c:v>
                </c:pt>
                <c:pt idx="19">
                  <c:v>203</c:v>
                </c:pt>
                <c:pt idx="20">
                  <c:v>178</c:v>
                </c:pt>
                <c:pt idx="21">
                  <c:v>192</c:v>
                </c:pt>
                <c:pt idx="22">
                  <c:v>235</c:v>
                </c:pt>
                <c:pt idx="23">
                  <c:v>162</c:v>
                </c:pt>
                <c:pt idx="24">
                  <c:v>188</c:v>
                </c:pt>
                <c:pt idx="25">
                  <c:v>167</c:v>
                </c:pt>
                <c:pt idx="26">
                  <c:v>194</c:v>
                </c:pt>
                <c:pt idx="27">
                  <c:v>151</c:v>
                </c:pt>
                <c:pt idx="28">
                  <c:v>211</c:v>
                </c:pt>
                <c:pt idx="29">
                  <c:v>250</c:v>
                </c:pt>
                <c:pt idx="30">
                  <c:v>206</c:v>
                </c:pt>
                <c:pt idx="31">
                  <c:v>190</c:v>
                </c:pt>
                <c:pt idx="32">
                  <c:v>169</c:v>
                </c:pt>
                <c:pt idx="33">
                  <c:v>211</c:v>
                </c:pt>
                <c:pt idx="34">
                  <c:v>356</c:v>
                </c:pt>
                <c:pt idx="35">
                  <c:v>169</c:v>
                </c:pt>
                <c:pt idx="36">
                  <c:v>202</c:v>
                </c:pt>
                <c:pt idx="37">
                  <c:v>186</c:v>
                </c:pt>
                <c:pt idx="38">
                  <c:v>187</c:v>
                </c:pt>
                <c:pt idx="39">
                  <c:v>171</c:v>
                </c:pt>
                <c:pt idx="40">
                  <c:v>204</c:v>
                </c:pt>
                <c:pt idx="41">
                  <c:v>196</c:v>
                </c:pt>
                <c:pt idx="42">
                  <c:v>255</c:v>
                </c:pt>
                <c:pt idx="43">
                  <c:v>327</c:v>
                </c:pt>
                <c:pt idx="44">
                  <c:v>195</c:v>
                </c:pt>
                <c:pt idx="45">
                  <c:v>217</c:v>
                </c:pt>
                <c:pt idx="46">
                  <c:v>182</c:v>
                </c:pt>
                <c:pt idx="47">
                  <c:v>198</c:v>
                </c:pt>
                <c:pt idx="48">
                  <c:v>275</c:v>
                </c:pt>
                <c:pt idx="49">
                  <c:v>275</c:v>
                </c:pt>
                <c:pt idx="50">
                  <c:v>204</c:v>
                </c:pt>
                <c:pt idx="51">
                  <c:v>261</c:v>
                </c:pt>
                <c:pt idx="52">
                  <c:v>327</c:v>
                </c:pt>
                <c:pt idx="53">
                  <c:v>441</c:v>
                </c:pt>
                <c:pt idx="54">
                  <c:v>218</c:v>
                </c:pt>
                <c:pt idx="55">
                  <c:v>759</c:v>
                </c:pt>
                <c:pt idx="56">
                  <c:v>217</c:v>
                </c:pt>
                <c:pt idx="57">
                  <c:v>288</c:v>
                </c:pt>
                <c:pt idx="58">
                  <c:v>204</c:v>
                </c:pt>
                <c:pt idx="59">
                  <c:v>228</c:v>
                </c:pt>
                <c:pt idx="60">
                  <c:v>309</c:v>
                </c:pt>
                <c:pt idx="61">
                  <c:v>282</c:v>
                </c:pt>
                <c:pt idx="62">
                  <c:v>263</c:v>
                </c:pt>
                <c:pt idx="63">
                  <c:v>243</c:v>
                </c:pt>
                <c:pt idx="64">
                  <c:v>209</c:v>
                </c:pt>
                <c:pt idx="65">
                  <c:v>253</c:v>
                </c:pt>
                <c:pt idx="66">
                  <c:v>618</c:v>
                </c:pt>
                <c:pt idx="67">
                  <c:v>266</c:v>
                </c:pt>
                <c:pt idx="68">
                  <c:v>261</c:v>
                </c:pt>
                <c:pt idx="69">
                  <c:v>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4-47B0-89C3-BDEA232EF077}"/>
            </c:ext>
          </c:extLst>
        </c:ser>
        <c:ser>
          <c:idx val="1"/>
          <c:order val="1"/>
          <c:tx>
            <c:strRef>
              <c:f>results_rb!$I$1</c:f>
              <c:strCache>
                <c:ptCount val="1"/>
                <c:pt idx="0">
                  <c:v>Теоретическая для удаления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results_rb!$I$2:$I$71</c:f>
              <c:numCache>
                <c:formatCode>General</c:formatCode>
                <c:ptCount val="70"/>
                <c:pt idx="0">
                  <c:v>68.272517244252683</c:v>
                </c:pt>
                <c:pt idx="1">
                  <c:v>70.518990239267538</c:v>
                </c:pt>
                <c:pt idx="2">
                  <c:v>78.830551164414388</c:v>
                </c:pt>
                <c:pt idx="3">
                  <c:v>80.115103921078969</c:v>
                </c:pt>
                <c:pt idx="4">
                  <c:v>81.225384414903345</c:v>
                </c:pt>
                <c:pt idx="5">
                  <c:v>86.963650035629456</c:v>
                </c:pt>
                <c:pt idx="6">
                  <c:v>88.171697207602136</c:v>
                </c:pt>
                <c:pt idx="7">
                  <c:v>89.936252291422676</c:v>
                </c:pt>
                <c:pt idx="8">
                  <c:v>91.235165479161964</c:v>
                </c:pt>
                <c:pt idx="9">
                  <c:v>92.079296464857094</c:v>
                </c:pt>
                <c:pt idx="10">
                  <c:v>93.639524526640287</c:v>
                </c:pt>
                <c:pt idx="11">
                  <c:v>94.353156428966258</c:v>
                </c:pt>
                <c:pt idx="12">
                  <c:v>95.12755802560352</c:v>
                </c:pt>
                <c:pt idx="13">
                  <c:v>99.055450254754348</c:v>
                </c:pt>
                <c:pt idx="14">
                  <c:v>99.197690145411514</c:v>
                </c:pt>
                <c:pt idx="15">
                  <c:v>99.813053253512265</c:v>
                </c:pt>
                <c:pt idx="16">
                  <c:v>100.72741937482365</c:v>
                </c:pt>
                <c:pt idx="17">
                  <c:v>103.17661854688959</c:v>
                </c:pt>
                <c:pt idx="18">
                  <c:v>103.53564654094751</c:v>
                </c:pt>
                <c:pt idx="19">
                  <c:v>103.78271083632244</c:v>
                </c:pt>
                <c:pt idx="20">
                  <c:v>104.51257423207267</c:v>
                </c:pt>
                <c:pt idx="21">
                  <c:v>104.94654138352861</c:v>
                </c:pt>
                <c:pt idx="22">
                  <c:v>105.98077559885202</c:v>
                </c:pt>
                <c:pt idx="23">
                  <c:v>106.1047441804954</c:v>
                </c:pt>
                <c:pt idx="24">
                  <c:v>106.13040349275231</c:v>
                </c:pt>
                <c:pt idx="25">
                  <c:v>106.84493847874431</c:v>
                </c:pt>
                <c:pt idx="26">
                  <c:v>106.86955485969861</c:v>
                </c:pt>
                <c:pt idx="27">
                  <c:v>107.04625142961427</c:v>
                </c:pt>
                <c:pt idx="28">
                  <c:v>107.2251030385662</c:v>
                </c:pt>
                <c:pt idx="29">
                  <c:v>107.77436035961769</c:v>
                </c:pt>
                <c:pt idx="30">
                  <c:v>107.87849130730288</c:v>
                </c:pt>
                <c:pt idx="31">
                  <c:v>107.88034520304434</c:v>
                </c:pt>
                <c:pt idx="32">
                  <c:v>108.38141984510168</c:v>
                </c:pt>
                <c:pt idx="33">
                  <c:v>108.38847335702539</c:v>
                </c:pt>
                <c:pt idx="34">
                  <c:v>108.4434099836017</c:v>
                </c:pt>
                <c:pt idx="35">
                  <c:v>108.46092677440552</c:v>
                </c:pt>
                <c:pt idx="36">
                  <c:v>108.80037662178398</c:v>
                </c:pt>
                <c:pt idx="37">
                  <c:v>108.84912425603233</c:v>
                </c:pt>
                <c:pt idx="38">
                  <c:v>108.94737871207185</c:v>
                </c:pt>
                <c:pt idx="39">
                  <c:v>109.28967642121859</c:v>
                </c:pt>
                <c:pt idx="40">
                  <c:v>109.35215977706424</c:v>
                </c:pt>
                <c:pt idx="41">
                  <c:v>109.60337844461993</c:v>
                </c:pt>
                <c:pt idx="42">
                  <c:v>110.16812388032247</c:v>
                </c:pt>
                <c:pt idx="43">
                  <c:v>110.8075389296651</c:v>
                </c:pt>
                <c:pt idx="44">
                  <c:v>111.21687411007393</c:v>
                </c:pt>
                <c:pt idx="45">
                  <c:v>111.32387812866986</c:v>
                </c:pt>
                <c:pt idx="46">
                  <c:v>111.62178699508875</c:v>
                </c:pt>
                <c:pt idx="47">
                  <c:v>111.84002016623467</c:v>
                </c:pt>
                <c:pt idx="48">
                  <c:v>111.99768828860795</c:v>
                </c:pt>
                <c:pt idx="49">
                  <c:v>112.1897480836258</c:v>
                </c:pt>
                <c:pt idx="50">
                  <c:v>112.3127011979584</c:v>
                </c:pt>
                <c:pt idx="51">
                  <c:v>112.47262874589089</c:v>
                </c:pt>
                <c:pt idx="52">
                  <c:v>112.75609731400723</c:v>
                </c:pt>
                <c:pt idx="53">
                  <c:v>112.9817543946326</c:v>
                </c:pt>
                <c:pt idx="54">
                  <c:v>113.66791876021057</c:v>
                </c:pt>
                <c:pt idx="55">
                  <c:v>113.94952734713868</c:v>
                </c:pt>
                <c:pt idx="56">
                  <c:v>113.99263023826127</c:v>
                </c:pt>
                <c:pt idx="57">
                  <c:v>114.05115773046458</c:v>
                </c:pt>
                <c:pt idx="58">
                  <c:v>114.12921129181679</c:v>
                </c:pt>
                <c:pt idx="59">
                  <c:v>114.33049714711161</c:v>
                </c:pt>
                <c:pt idx="60">
                  <c:v>114.4322596110048</c:v>
                </c:pt>
                <c:pt idx="61">
                  <c:v>114.7152966627353</c:v>
                </c:pt>
                <c:pt idx="62">
                  <c:v>114.7384701347695</c:v>
                </c:pt>
                <c:pt idx="63">
                  <c:v>115.18729054213193</c:v>
                </c:pt>
                <c:pt idx="64">
                  <c:v>115.37325807591702</c:v>
                </c:pt>
                <c:pt idx="65">
                  <c:v>115.43069128418968</c:v>
                </c:pt>
                <c:pt idx="66">
                  <c:v>115.50654653025535</c:v>
                </c:pt>
                <c:pt idx="67">
                  <c:v>116.06273752815699</c:v>
                </c:pt>
                <c:pt idx="68">
                  <c:v>116.09843514295585</c:v>
                </c:pt>
                <c:pt idx="69">
                  <c:v>116.1632317215588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E4-47B0-89C3-BDEA232E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099295"/>
        <c:axId val="1359101791"/>
      </c:scatterChart>
      <c:valAx>
        <c:axId val="13590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1000 операций удаления случайных элементов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101791"/>
        <c:crosses val="autoZero"/>
        <c:crossBetween val="midCat"/>
      </c:valAx>
      <c:valAx>
        <c:axId val="13591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09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обхода в ширину от кол-ва элементов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results_rb!$E$1</c:f>
              <c:strCache>
                <c:ptCount val="1"/>
                <c:pt idx="0">
                  <c:v>BfsTimeUs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results_rb!$E$2:$E$71</c:f>
              <c:numCache>
                <c:formatCode>General</c:formatCode>
                <c:ptCount val="70"/>
                <c:pt idx="0">
                  <c:v>5</c:v>
                </c:pt>
                <c:pt idx="1">
                  <c:v>14</c:v>
                </c:pt>
                <c:pt idx="2">
                  <c:v>21</c:v>
                </c:pt>
                <c:pt idx="3">
                  <c:v>25</c:v>
                </c:pt>
                <c:pt idx="4">
                  <c:v>28</c:v>
                </c:pt>
                <c:pt idx="5">
                  <c:v>51</c:v>
                </c:pt>
                <c:pt idx="6">
                  <c:v>67</c:v>
                </c:pt>
                <c:pt idx="7">
                  <c:v>114</c:v>
                </c:pt>
                <c:pt idx="8">
                  <c:v>78</c:v>
                </c:pt>
                <c:pt idx="9">
                  <c:v>138</c:v>
                </c:pt>
                <c:pt idx="10">
                  <c:v>110</c:v>
                </c:pt>
                <c:pt idx="11">
                  <c:v>114</c:v>
                </c:pt>
                <c:pt idx="12">
                  <c:v>128</c:v>
                </c:pt>
                <c:pt idx="13">
                  <c:v>203</c:v>
                </c:pt>
                <c:pt idx="14">
                  <c:v>196</c:v>
                </c:pt>
                <c:pt idx="15">
                  <c:v>234</c:v>
                </c:pt>
                <c:pt idx="16">
                  <c:v>227</c:v>
                </c:pt>
                <c:pt idx="17">
                  <c:v>352</c:v>
                </c:pt>
                <c:pt idx="18">
                  <c:v>308</c:v>
                </c:pt>
                <c:pt idx="19">
                  <c:v>396</c:v>
                </c:pt>
                <c:pt idx="20">
                  <c:v>541</c:v>
                </c:pt>
                <c:pt idx="21">
                  <c:v>1586</c:v>
                </c:pt>
                <c:pt idx="22">
                  <c:v>482</c:v>
                </c:pt>
                <c:pt idx="23">
                  <c:v>433</c:v>
                </c:pt>
                <c:pt idx="24">
                  <c:v>467</c:v>
                </c:pt>
                <c:pt idx="25">
                  <c:v>479</c:v>
                </c:pt>
                <c:pt idx="26">
                  <c:v>547</c:v>
                </c:pt>
                <c:pt idx="27">
                  <c:v>476</c:v>
                </c:pt>
                <c:pt idx="28">
                  <c:v>595</c:v>
                </c:pt>
                <c:pt idx="29">
                  <c:v>797</c:v>
                </c:pt>
                <c:pt idx="30">
                  <c:v>534</c:v>
                </c:pt>
                <c:pt idx="31">
                  <c:v>688</c:v>
                </c:pt>
                <c:pt idx="32">
                  <c:v>530</c:v>
                </c:pt>
                <c:pt idx="33">
                  <c:v>619</c:v>
                </c:pt>
                <c:pt idx="34">
                  <c:v>601</c:v>
                </c:pt>
                <c:pt idx="35">
                  <c:v>554</c:v>
                </c:pt>
                <c:pt idx="36">
                  <c:v>612</c:v>
                </c:pt>
                <c:pt idx="37">
                  <c:v>615</c:v>
                </c:pt>
                <c:pt idx="38">
                  <c:v>607</c:v>
                </c:pt>
                <c:pt idx="39">
                  <c:v>594</c:v>
                </c:pt>
                <c:pt idx="40">
                  <c:v>717</c:v>
                </c:pt>
                <c:pt idx="41">
                  <c:v>755</c:v>
                </c:pt>
                <c:pt idx="42">
                  <c:v>829</c:v>
                </c:pt>
                <c:pt idx="43">
                  <c:v>1115</c:v>
                </c:pt>
                <c:pt idx="44">
                  <c:v>778</c:v>
                </c:pt>
                <c:pt idx="45">
                  <c:v>878</c:v>
                </c:pt>
                <c:pt idx="46">
                  <c:v>759</c:v>
                </c:pt>
                <c:pt idx="47">
                  <c:v>967</c:v>
                </c:pt>
                <c:pt idx="48">
                  <c:v>1292</c:v>
                </c:pt>
                <c:pt idx="49">
                  <c:v>871</c:v>
                </c:pt>
                <c:pt idx="50">
                  <c:v>885</c:v>
                </c:pt>
                <c:pt idx="51">
                  <c:v>1012</c:v>
                </c:pt>
                <c:pt idx="52">
                  <c:v>1013</c:v>
                </c:pt>
                <c:pt idx="53">
                  <c:v>1658</c:v>
                </c:pt>
                <c:pt idx="54">
                  <c:v>1023</c:v>
                </c:pt>
                <c:pt idx="55">
                  <c:v>11552</c:v>
                </c:pt>
                <c:pt idx="56">
                  <c:v>1003</c:v>
                </c:pt>
                <c:pt idx="57">
                  <c:v>1136</c:v>
                </c:pt>
                <c:pt idx="58">
                  <c:v>983</c:v>
                </c:pt>
                <c:pt idx="59">
                  <c:v>1097</c:v>
                </c:pt>
                <c:pt idx="60">
                  <c:v>1605</c:v>
                </c:pt>
                <c:pt idx="61">
                  <c:v>1271</c:v>
                </c:pt>
                <c:pt idx="62">
                  <c:v>4454</c:v>
                </c:pt>
                <c:pt idx="63">
                  <c:v>1154</c:v>
                </c:pt>
                <c:pt idx="64">
                  <c:v>1127</c:v>
                </c:pt>
                <c:pt idx="65">
                  <c:v>1207</c:v>
                </c:pt>
                <c:pt idx="66">
                  <c:v>3368</c:v>
                </c:pt>
                <c:pt idx="67">
                  <c:v>1806</c:v>
                </c:pt>
                <c:pt idx="68">
                  <c:v>1365</c:v>
                </c:pt>
                <c:pt idx="69">
                  <c:v>1888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93-467C-A692-7E48DE5CF66E}"/>
            </c:ext>
          </c:extLst>
        </c:ser>
        <c:ser>
          <c:idx val="1"/>
          <c:order val="1"/>
          <c:tx>
            <c:strRef>
              <c:f>results_rb!$J$1</c:f>
              <c:strCache>
                <c:ptCount val="1"/>
                <c:pt idx="0">
                  <c:v>Теоретическая для ширины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results_rb!$J$2:$J$71</c:f>
              <c:numCache>
                <c:formatCode>General</c:formatCode>
                <c:ptCount val="70"/>
                <c:pt idx="0">
                  <c:v>12.945</c:v>
                </c:pt>
                <c:pt idx="1">
                  <c:v>16.169999999999998</c:v>
                </c:pt>
                <c:pt idx="2">
                  <c:v>36.824999999999996</c:v>
                </c:pt>
                <c:pt idx="3">
                  <c:v>41.82</c:v>
                </c:pt>
                <c:pt idx="4">
                  <c:v>46.68</c:v>
                </c:pt>
                <c:pt idx="5">
                  <c:v>82.394999999999996</c:v>
                </c:pt>
                <c:pt idx="6">
                  <c:v>92.864999999999995</c:v>
                </c:pt>
                <c:pt idx="7">
                  <c:v>110.595</c:v>
                </c:pt>
                <c:pt idx="8">
                  <c:v>125.77499999999999</c:v>
                </c:pt>
                <c:pt idx="9">
                  <c:v>136.74</c:v>
                </c:pt>
                <c:pt idx="10">
                  <c:v>159.58500000000001</c:v>
                </c:pt>
                <c:pt idx="11">
                  <c:v>171.26999999999998</c:v>
                </c:pt>
                <c:pt idx="12">
                  <c:v>184.92</c:v>
                </c:pt>
                <c:pt idx="13">
                  <c:v>272.83499999999998</c:v>
                </c:pt>
                <c:pt idx="14">
                  <c:v>276.70499999999998</c:v>
                </c:pt>
                <c:pt idx="15">
                  <c:v>294.08999999999997</c:v>
                </c:pt>
                <c:pt idx="16">
                  <c:v>321.95999999999998</c:v>
                </c:pt>
                <c:pt idx="17">
                  <c:v>410.32499999999999</c:v>
                </c:pt>
                <c:pt idx="18">
                  <c:v>425.17500000000001</c:v>
                </c:pt>
                <c:pt idx="19">
                  <c:v>435.70499999999998</c:v>
                </c:pt>
                <c:pt idx="20">
                  <c:v>468.35999999999996</c:v>
                </c:pt>
                <c:pt idx="21">
                  <c:v>488.92499999999995</c:v>
                </c:pt>
                <c:pt idx="22">
                  <c:v>541.65</c:v>
                </c:pt>
                <c:pt idx="23">
                  <c:v>548.34</c:v>
                </c:pt>
                <c:pt idx="24">
                  <c:v>549.73500000000001</c:v>
                </c:pt>
                <c:pt idx="25">
                  <c:v>590.04</c:v>
                </c:pt>
                <c:pt idx="26">
                  <c:v>591.48</c:v>
                </c:pt>
                <c:pt idx="27">
                  <c:v>601.91999999999996</c:v>
                </c:pt>
                <c:pt idx="28">
                  <c:v>612.67499999999995</c:v>
                </c:pt>
                <c:pt idx="29">
                  <c:v>646.91999999999996</c:v>
                </c:pt>
                <c:pt idx="30">
                  <c:v>653.625</c:v>
                </c:pt>
                <c:pt idx="31">
                  <c:v>653.745</c:v>
                </c:pt>
                <c:pt idx="32">
                  <c:v>687</c:v>
                </c:pt>
                <c:pt idx="33">
                  <c:v>687.48</c:v>
                </c:pt>
                <c:pt idx="34">
                  <c:v>691.23</c:v>
                </c:pt>
                <c:pt idx="35">
                  <c:v>692.43</c:v>
                </c:pt>
                <c:pt idx="36">
                  <c:v>716.1</c:v>
                </c:pt>
                <c:pt idx="37">
                  <c:v>719.56499999999994</c:v>
                </c:pt>
                <c:pt idx="38">
                  <c:v>726.6</c:v>
                </c:pt>
                <c:pt idx="39">
                  <c:v>751.65</c:v>
                </c:pt>
                <c:pt idx="40">
                  <c:v>756.31499999999994</c:v>
                </c:pt>
                <c:pt idx="41">
                  <c:v>775.36500000000001</c:v>
                </c:pt>
                <c:pt idx="42">
                  <c:v>819.95999999999992</c:v>
                </c:pt>
                <c:pt idx="43">
                  <c:v>873.55499999999995</c:v>
                </c:pt>
                <c:pt idx="44">
                  <c:v>909.68999999999994</c:v>
                </c:pt>
                <c:pt idx="45">
                  <c:v>919.38</c:v>
                </c:pt>
                <c:pt idx="46">
                  <c:v>946.90499999999997</c:v>
                </c:pt>
                <c:pt idx="47">
                  <c:v>967.58999999999992</c:v>
                </c:pt>
                <c:pt idx="48">
                  <c:v>982.81499999999994</c:v>
                </c:pt>
                <c:pt idx="49">
                  <c:v>1001.6849999999999</c:v>
                </c:pt>
                <c:pt idx="50">
                  <c:v>1013.9549999999999</c:v>
                </c:pt>
                <c:pt idx="51">
                  <c:v>1030.1399999999999</c:v>
                </c:pt>
                <c:pt idx="52">
                  <c:v>1059.4649999999999</c:v>
                </c:pt>
                <c:pt idx="53">
                  <c:v>1083.405</c:v>
                </c:pt>
                <c:pt idx="54">
                  <c:v>1159.575</c:v>
                </c:pt>
                <c:pt idx="55">
                  <c:v>1192.365</c:v>
                </c:pt>
                <c:pt idx="56">
                  <c:v>1197.4649999999999</c:v>
                </c:pt>
                <c:pt idx="57">
                  <c:v>1204.425</c:v>
                </c:pt>
                <c:pt idx="58">
                  <c:v>1213.77</c:v>
                </c:pt>
                <c:pt idx="59">
                  <c:v>1238.2049999999999</c:v>
                </c:pt>
                <c:pt idx="60">
                  <c:v>1250.7449999999999</c:v>
                </c:pt>
                <c:pt idx="61">
                  <c:v>1286.2949999999998</c:v>
                </c:pt>
                <c:pt idx="62">
                  <c:v>1289.25</c:v>
                </c:pt>
                <c:pt idx="63">
                  <c:v>1347.84</c:v>
                </c:pt>
                <c:pt idx="64">
                  <c:v>1372.8899999999999</c:v>
                </c:pt>
                <c:pt idx="65">
                  <c:v>1380.72</c:v>
                </c:pt>
                <c:pt idx="66">
                  <c:v>1391.1299999999999</c:v>
                </c:pt>
                <c:pt idx="67">
                  <c:v>1469.895</c:v>
                </c:pt>
                <c:pt idx="68">
                  <c:v>1475.1</c:v>
                </c:pt>
                <c:pt idx="69">
                  <c:v>1484.595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93-467C-A692-7E48DE5CF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828655"/>
        <c:axId val="1381832815"/>
      </c:scatterChart>
      <c:valAx>
        <c:axId val="13818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одного полного обхода дерева в ширину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1832815"/>
        <c:crosses val="autoZero"/>
        <c:crossBetween val="midCat"/>
      </c:valAx>
      <c:valAx>
        <c:axId val="13818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182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обхода в глубину от кол-ва элементов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results_rb!$F$1</c:f>
              <c:strCache>
                <c:ptCount val="1"/>
                <c:pt idx="0">
                  <c:v>DfsTimeUs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results_rb!$F$2:$F$71</c:f>
              <c:numCache>
                <c:formatCode>General</c:formatCode>
                <c:ptCount val="70"/>
                <c:pt idx="0">
                  <c:v>4</c:v>
                </c:pt>
                <c:pt idx="1">
                  <c:v>13</c:v>
                </c:pt>
                <c:pt idx="2">
                  <c:v>20</c:v>
                </c:pt>
                <c:pt idx="3">
                  <c:v>24</c:v>
                </c:pt>
                <c:pt idx="4">
                  <c:v>29</c:v>
                </c:pt>
                <c:pt idx="5">
                  <c:v>43</c:v>
                </c:pt>
                <c:pt idx="6">
                  <c:v>53</c:v>
                </c:pt>
                <c:pt idx="7">
                  <c:v>93</c:v>
                </c:pt>
                <c:pt idx="8">
                  <c:v>70</c:v>
                </c:pt>
                <c:pt idx="9">
                  <c:v>84</c:v>
                </c:pt>
                <c:pt idx="10">
                  <c:v>94</c:v>
                </c:pt>
                <c:pt idx="11">
                  <c:v>99</c:v>
                </c:pt>
                <c:pt idx="12">
                  <c:v>124</c:v>
                </c:pt>
                <c:pt idx="13">
                  <c:v>186</c:v>
                </c:pt>
                <c:pt idx="14">
                  <c:v>185</c:v>
                </c:pt>
                <c:pt idx="15">
                  <c:v>195</c:v>
                </c:pt>
                <c:pt idx="16">
                  <c:v>204</c:v>
                </c:pt>
                <c:pt idx="17">
                  <c:v>301</c:v>
                </c:pt>
                <c:pt idx="18">
                  <c:v>290</c:v>
                </c:pt>
                <c:pt idx="19">
                  <c:v>335</c:v>
                </c:pt>
                <c:pt idx="20">
                  <c:v>383</c:v>
                </c:pt>
                <c:pt idx="21">
                  <c:v>371</c:v>
                </c:pt>
                <c:pt idx="22">
                  <c:v>442</c:v>
                </c:pt>
                <c:pt idx="23">
                  <c:v>405</c:v>
                </c:pt>
                <c:pt idx="24">
                  <c:v>402</c:v>
                </c:pt>
                <c:pt idx="25">
                  <c:v>454</c:v>
                </c:pt>
                <c:pt idx="26">
                  <c:v>470</c:v>
                </c:pt>
                <c:pt idx="27">
                  <c:v>441</c:v>
                </c:pt>
                <c:pt idx="28">
                  <c:v>516</c:v>
                </c:pt>
                <c:pt idx="29">
                  <c:v>684</c:v>
                </c:pt>
                <c:pt idx="30">
                  <c:v>483</c:v>
                </c:pt>
                <c:pt idx="31">
                  <c:v>501</c:v>
                </c:pt>
                <c:pt idx="32">
                  <c:v>674</c:v>
                </c:pt>
                <c:pt idx="33">
                  <c:v>508</c:v>
                </c:pt>
                <c:pt idx="34">
                  <c:v>555</c:v>
                </c:pt>
                <c:pt idx="35">
                  <c:v>527</c:v>
                </c:pt>
                <c:pt idx="36">
                  <c:v>579</c:v>
                </c:pt>
                <c:pt idx="37">
                  <c:v>565</c:v>
                </c:pt>
                <c:pt idx="38">
                  <c:v>588</c:v>
                </c:pt>
                <c:pt idx="39">
                  <c:v>613</c:v>
                </c:pt>
                <c:pt idx="40">
                  <c:v>657</c:v>
                </c:pt>
                <c:pt idx="41">
                  <c:v>663</c:v>
                </c:pt>
                <c:pt idx="42">
                  <c:v>748</c:v>
                </c:pt>
                <c:pt idx="43">
                  <c:v>1090</c:v>
                </c:pt>
                <c:pt idx="44">
                  <c:v>706</c:v>
                </c:pt>
                <c:pt idx="45">
                  <c:v>759</c:v>
                </c:pt>
                <c:pt idx="46">
                  <c:v>776</c:v>
                </c:pt>
                <c:pt idx="47">
                  <c:v>874</c:v>
                </c:pt>
                <c:pt idx="48">
                  <c:v>1078</c:v>
                </c:pt>
                <c:pt idx="49">
                  <c:v>820</c:v>
                </c:pt>
                <c:pt idx="50">
                  <c:v>853</c:v>
                </c:pt>
                <c:pt idx="51">
                  <c:v>877</c:v>
                </c:pt>
                <c:pt idx="52">
                  <c:v>874</c:v>
                </c:pt>
                <c:pt idx="53">
                  <c:v>1485</c:v>
                </c:pt>
                <c:pt idx="54">
                  <c:v>976</c:v>
                </c:pt>
                <c:pt idx="55">
                  <c:v>2364</c:v>
                </c:pt>
                <c:pt idx="56">
                  <c:v>978</c:v>
                </c:pt>
                <c:pt idx="57">
                  <c:v>1023</c:v>
                </c:pt>
                <c:pt idx="58">
                  <c:v>939</c:v>
                </c:pt>
                <c:pt idx="59">
                  <c:v>1011</c:v>
                </c:pt>
                <c:pt idx="60">
                  <c:v>1236</c:v>
                </c:pt>
                <c:pt idx="61">
                  <c:v>1100</c:v>
                </c:pt>
                <c:pt idx="62">
                  <c:v>1011</c:v>
                </c:pt>
                <c:pt idx="63">
                  <c:v>1106</c:v>
                </c:pt>
                <c:pt idx="64">
                  <c:v>1131</c:v>
                </c:pt>
                <c:pt idx="65">
                  <c:v>1156</c:v>
                </c:pt>
                <c:pt idx="66">
                  <c:v>3240</c:v>
                </c:pt>
                <c:pt idx="67">
                  <c:v>1387</c:v>
                </c:pt>
                <c:pt idx="68">
                  <c:v>1289</c:v>
                </c:pt>
                <c:pt idx="69">
                  <c:v>1294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5E-4059-8078-02D24CC9FEA3}"/>
            </c:ext>
          </c:extLst>
        </c:ser>
        <c:ser>
          <c:idx val="1"/>
          <c:order val="1"/>
          <c:tx>
            <c:strRef>
              <c:f>results_rb!$K$1</c:f>
              <c:strCache>
                <c:ptCount val="1"/>
                <c:pt idx="0">
                  <c:v>Теоретическая для глубины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results_rb!$A$2:$A$71</c:f>
              <c:numCache>
                <c:formatCode>General</c:formatCode>
                <c:ptCount val="70"/>
                <c:pt idx="0">
                  <c:v>863</c:v>
                </c:pt>
                <c:pt idx="1">
                  <c:v>1078</c:v>
                </c:pt>
                <c:pt idx="2">
                  <c:v>2455</c:v>
                </c:pt>
                <c:pt idx="3">
                  <c:v>2788</c:v>
                </c:pt>
                <c:pt idx="4">
                  <c:v>3112</c:v>
                </c:pt>
                <c:pt idx="5">
                  <c:v>5493</c:v>
                </c:pt>
                <c:pt idx="6">
                  <c:v>6191</c:v>
                </c:pt>
                <c:pt idx="7">
                  <c:v>7373</c:v>
                </c:pt>
                <c:pt idx="8">
                  <c:v>8385</c:v>
                </c:pt>
                <c:pt idx="9">
                  <c:v>9116</c:v>
                </c:pt>
                <c:pt idx="10">
                  <c:v>10639</c:v>
                </c:pt>
                <c:pt idx="11">
                  <c:v>11418</c:v>
                </c:pt>
                <c:pt idx="12">
                  <c:v>12328</c:v>
                </c:pt>
                <c:pt idx="13">
                  <c:v>18189</c:v>
                </c:pt>
                <c:pt idx="14">
                  <c:v>18447</c:v>
                </c:pt>
                <c:pt idx="15">
                  <c:v>19606</c:v>
                </c:pt>
                <c:pt idx="16">
                  <c:v>21464</c:v>
                </c:pt>
                <c:pt idx="17">
                  <c:v>27355</c:v>
                </c:pt>
                <c:pt idx="18">
                  <c:v>28345</c:v>
                </c:pt>
                <c:pt idx="19">
                  <c:v>29047</c:v>
                </c:pt>
                <c:pt idx="20">
                  <c:v>31224</c:v>
                </c:pt>
                <c:pt idx="21">
                  <c:v>32595</c:v>
                </c:pt>
                <c:pt idx="22">
                  <c:v>36110</c:v>
                </c:pt>
                <c:pt idx="23">
                  <c:v>36556</c:v>
                </c:pt>
                <c:pt idx="24">
                  <c:v>36649</c:v>
                </c:pt>
                <c:pt idx="25">
                  <c:v>39336</c:v>
                </c:pt>
                <c:pt idx="26">
                  <c:v>39432</c:v>
                </c:pt>
                <c:pt idx="27">
                  <c:v>40128</c:v>
                </c:pt>
                <c:pt idx="28">
                  <c:v>40845</c:v>
                </c:pt>
                <c:pt idx="29">
                  <c:v>43128</c:v>
                </c:pt>
                <c:pt idx="30">
                  <c:v>43575</c:v>
                </c:pt>
                <c:pt idx="31">
                  <c:v>43583</c:v>
                </c:pt>
                <c:pt idx="32">
                  <c:v>45800</c:v>
                </c:pt>
                <c:pt idx="33">
                  <c:v>45832</c:v>
                </c:pt>
                <c:pt idx="34">
                  <c:v>46082</c:v>
                </c:pt>
                <c:pt idx="35">
                  <c:v>46162</c:v>
                </c:pt>
                <c:pt idx="36">
                  <c:v>47740</c:v>
                </c:pt>
                <c:pt idx="37">
                  <c:v>47971</c:v>
                </c:pt>
                <c:pt idx="38">
                  <c:v>48440</c:v>
                </c:pt>
                <c:pt idx="39">
                  <c:v>50110</c:v>
                </c:pt>
                <c:pt idx="40">
                  <c:v>50421</c:v>
                </c:pt>
                <c:pt idx="41">
                  <c:v>51691</c:v>
                </c:pt>
                <c:pt idx="42">
                  <c:v>54664</c:v>
                </c:pt>
                <c:pt idx="43">
                  <c:v>58237</c:v>
                </c:pt>
                <c:pt idx="44">
                  <c:v>60646</c:v>
                </c:pt>
                <c:pt idx="45">
                  <c:v>61292</c:v>
                </c:pt>
                <c:pt idx="46">
                  <c:v>63127</c:v>
                </c:pt>
                <c:pt idx="47">
                  <c:v>64506</c:v>
                </c:pt>
                <c:pt idx="48">
                  <c:v>65521</c:v>
                </c:pt>
                <c:pt idx="49">
                  <c:v>66779</c:v>
                </c:pt>
                <c:pt idx="50">
                  <c:v>67597</c:v>
                </c:pt>
                <c:pt idx="51">
                  <c:v>68676</c:v>
                </c:pt>
                <c:pt idx="52">
                  <c:v>70631</c:v>
                </c:pt>
                <c:pt idx="53">
                  <c:v>72227</c:v>
                </c:pt>
                <c:pt idx="54">
                  <c:v>77305</c:v>
                </c:pt>
                <c:pt idx="55">
                  <c:v>79491</c:v>
                </c:pt>
                <c:pt idx="56">
                  <c:v>79831</c:v>
                </c:pt>
                <c:pt idx="57">
                  <c:v>80295</c:v>
                </c:pt>
                <c:pt idx="58">
                  <c:v>80918</c:v>
                </c:pt>
                <c:pt idx="59">
                  <c:v>82547</c:v>
                </c:pt>
                <c:pt idx="60">
                  <c:v>83383</c:v>
                </c:pt>
                <c:pt idx="61">
                  <c:v>85753</c:v>
                </c:pt>
                <c:pt idx="62">
                  <c:v>85950</c:v>
                </c:pt>
                <c:pt idx="63">
                  <c:v>89856</c:v>
                </c:pt>
                <c:pt idx="64">
                  <c:v>91526</c:v>
                </c:pt>
                <c:pt idx="65">
                  <c:v>92048</c:v>
                </c:pt>
                <c:pt idx="66">
                  <c:v>92742</c:v>
                </c:pt>
                <c:pt idx="67">
                  <c:v>97993</c:v>
                </c:pt>
                <c:pt idx="68">
                  <c:v>98340</c:v>
                </c:pt>
                <c:pt idx="69">
                  <c:v>98973</c:v>
                </c:pt>
              </c:numCache>
            </c:numRef>
          </c:xVal>
          <c:yVal>
            <c:numRef>
              <c:f>results_rb!$K$2:$K$71</c:f>
              <c:numCache>
                <c:formatCode>General</c:formatCode>
                <c:ptCount val="70"/>
                <c:pt idx="0">
                  <c:v>10.356</c:v>
                </c:pt>
                <c:pt idx="1">
                  <c:v>12.936</c:v>
                </c:pt>
                <c:pt idx="2">
                  <c:v>29.46</c:v>
                </c:pt>
                <c:pt idx="3">
                  <c:v>33.456000000000003</c:v>
                </c:pt>
                <c:pt idx="4">
                  <c:v>37.344000000000001</c:v>
                </c:pt>
                <c:pt idx="5">
                  <c:v>65.915999999999997</c:v>
                </c:pt>
                <c:pt idx="6">
                  <c:v>74.292000000000002</c:v>
                </c:pt>
                <c:pt idx="7">
                  <c:v>88.475999999999999</c:v>
                </c:pt>
                <c:pt idx="8">
                  <c:v>100.62</c:v>
                </c:pt>
                <c:pt idx="9">
                  <c:v>109.392</c:v>
                </c:pt>
                <c:pt idx="10">
                  <c:v>127.66800000000001</c:v>
                </c:pt>
                <c:pt idx="11">
                  <c:v>137.01599999999999</c:v>
                </c:pt>
                <c:pt idx="12">
                  <c:v>147.93600000000001</c:v>
                </c:pt>
                <c:pt idx="13">
                  <c:v>218.268</c:v>
                </c:pt>
                <c:pt idx="14">
                  <c:v>221.364</c:v>
                </c:pt>
                <c:pt idx="15">
                  <c:v>235.27199999999999</c:v>
                </c:pt>
                <c:pt idx="16">
                  <c:v>257.56799999999998</c:v>
                </c:pt>
                <c:pt idx="17">
                  <c:v>328.26</c:v>
                </c:pt>
                <c:pt idx="18">
                  <c:v>340.14</c:v>
                </c:pt>
                <c:pt idx="19">
                  <c:v>348.56400000000002</c:v>
                </c:pt>
                <c:pt idx="20">
                  <c:v>374.68799999999999</c:v>
                </c:pt>
                <c:pt idx="21">
                  <c:v>391.14</c:v>
                </c:pt>
                <c:pt idx="22">
                  <c:v>433.32</c:v>
                </c:pt>
                <c:pt idx="23">
                  <c:v>438.67200000000003</c:v>
                </c:pt>
                <c:pt idx="24">
                  <c:v>439.78800000000001</c:v>
                </c:pt>
                <c:pt idx="25">
                  <c:v>472.03199999999998</c:v>
                </c:pt>
                <c:pt idx="26">
                  <c:v>473.18400000000003</c:v>
                </c:pt>
                <c:pt idx="27">
                  <c:v>481.536</c:v>
                </c:pt>
                <c:pt idx="28">
                  <c:v>490.14</c:v>
                </c:pt>
                <c:pt idx="29">
                  <c:v>517.53600000000006</c:v>
                </c:pt>
                <c:pt idx="30">
                  <c:v>522.9</c:v>
                </c:pt>
                <c:pt idx="31">
                  <c:v>522.99599999999998</c:v>
                </c:pt>
                <c:pt idx="32">
                  <c:v>549.6</c:v>
                </c:pt>
                <c:pt idx="33">
                  <c:v>549.98400000000004</c:v>
                </c:pt>
                <c:pt idx="34">
                  <c:v>552.98400000000004</c:v>
                </c:pt>
                <c:pt idx="35">
                  <c:v>553.94399999999996</c:v>
                </c:pt>
                <c:pt idx="36">
                  <c:v>572.88</c:v>
                </c:pt>
                <c:pt idx="37">
                  <c:v>575.65200000000004</c:v>
                </c:pt>
                <c:pt idx="38">
                  <c:v>581.28</c:v>
                </c:pt>
                <c:pt idx="39">
                  <c:v>601.32000000000005</c:v>
                </c:pt>
                <c:pt idx="40">
                  <c:v>605.05200000000002</c:v>
                </c:pt>
                <c:pt idx="41">
                  <c:v>620.29200000000003</c:v>
                </c:pt>
                <c:pt idx="42">
                  <c:v>655.96799999999996</c:v>
                </c:pt>
                <c:pt idx="43">
                  <c:v>698.84400000000005</c:v>
                </c:pt>
                <c:pt idx="44">
                  <c:v>727.75200000000007</c:v>
                </c:pt>
                <c:pt idx="45">
                  <c:v>735.50400000000002</c:v>
                </c:pt>
                <c:pt idx="46">
                  <c:v>757.524</c:v>
                </c:pt>
                <c:pt idx="47">
                  <c:v>774.072</c:v>
                </c:pt>
                <c:pt idx="48">
                  <c:v>786.25200000000007</c:v>
                </c:pt>
                <c:pt idx="49">
                  <c:v>801.34800000000007</c:v>
                </c:pt>
                <c:pt idx="50">
                  <c:v>811.16399999999999</c:v>
                </c:pt>
                <c:pt idx="51">
                  <c:v>824.11199999999997</c:v>
                </c:pt>
                <c:pt idx="52">
                  <c:v>847.572</c:v>
                </c:pt>
                <c:pt idx="53">
                  <c:v>866.72400000000005</c:v>
                </c:pt>
                <c:pt idx="54">
                  <c:v>927.66</c:v>
                </c:pt>
                <c:pt idx="55">
                  <c:v>953.89200000000005</c:v>
                </c:pt>
                <c:pt idx="56">
                  <c:v>957.97199999999998</c:v>
                </c:pt>
                <c:pt idx="57">
                  <c:v>963.54</c:v>
                </c:pt>
                <c:pt idx="58">
                  <c:v>971.01600000000008</c:v>
                </c:pt>
                <c:pt idx="59">
                  <c:v>990.56399999999996</c:v>
                </c:pt>
                <c:pt idx="60">
                  <c:v>1000.596</c:v>
                </c:pt>
                <c:pt idx="61">
                  <c:v>1029.0360000000001</c:v>
                </c:pt>
                <c:pt idx="62">
                  <c:v>1031.4000000000001</c:v>
                </c:pt>
                <c:pt idx="63">
                  <c:v>1078.2719999999999</c:v>
                </c:pt>
                <c:pt idx="64">
                  <c:v>1098.3120000000001</c:v>
                </c:pt>
                <c:pt idx="65">
                  <c:v>1104.576</c:v>
                </c:pt>
                <c:pt idx="66">
                  <c:v>1112.904</c:v>
                </c:pt>
                <c:pt idx="67">
                  <c:v>1175.9159999999999</c:v>
                </c:pt>
                <c:pt idx="68">
                  <c:v>1180.08</c:v>
                </c:pt>
                <c:pt idx="69">
                  <c:v>1187.6759999999999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5E-4059-8078-02D24CC9F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838223"/>
        <c:axId val="1381830319"/>
      </c:scatterChart>
      <c:valAx>
        <c:axId val="138183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одного полного обхода дерева в глубину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1830319"/>
        <c:crosses val="autoZero"/>
        <c:crossBetween val="midCat"/>
      </c:valAx>
      <c:valAx>
        <c:axId val="138183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183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393031</xdr:colOff>
      <xdr:row>4</xdr:row>
      <xdr:rowOff>130343</xdr:rowOff>
    </xdr:from>
    <xdr:to>
      <xdr:col>21</xdr:col>
      <xdr:colOff>461210</xdr:colOff>
      <xdr:row>24</xdr:row>
      <xdr:rowOff>93246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354645</xdr:colOff>
      <xdr:row>27</xdr:row>
      <xdr:rowOff>29308</xdr:rowOff>
    </xdr:from>
    <xdr:to>
      <xdr:col>21</xdr:col>
      <xdr:colOff>556846</xdr:colOff>
      <xdr:row>45</xdr:row>
      <xdr:rowOff>100979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293914</xdr:colOff>
      <xdr:row>49</xdr:row>
      <xdr:rowOff>58615</xdr:rowOff>
    </xdr:from>
    <xdr:to>
      <xdr:col>22</xdr:col>
      <xdr:colOff>58617</xdr:colOff>
      <xdr:row>69</xdr:row>
      <xdr:rowOff>5445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160323</xdr:colOff>
      <xdr:row>13</xdr:row>
      <xdr:rowOff>161193</xdr:rowOff>
    </xdr:from>
    <xdr:to>
      <xdr:col>34</xdr:col>
      <xdr:colOff>-1</xdr:colOff>
      <xdr:row>35</xdr:row>
      <xdr:rowOff>116769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146537</xdr:colOff>
      <xdr:row>41</xdr:row>
      <xdr:rowOff>145072</xdr:rowOff>
    </xdr:from>
    <xdr:to>
      <xdr:col>34</xdr:col>
      <xdr:colOff>14654</xdr:colOff>
      <xdr:row>62</xdr:row>
      <xdr:rowOff>117231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K71" totalsRowShown="0" headerRowDxfId="12" dataDxfId="11">
  <autoFilter ref="A1:K71"/>
  <sortState ref="A2:K71">
    <sortCondition ref="A1:A71"/>
  </sortState>
  <tableColumns count="11">
    <tableColumn id="1" name="Size" dataDxfId="10"/>
    <tableColumn id="2" name="InsertTimeUs" dataDxfId="9"/>
    <tableColumn id="3" name="SearchTimeUs" dataDxfId="8"/>
    <tableColumn id="4" name="DeleteTimeUs" dataDxfId="7"/>
    <tableColumn id="5" name="BfsTimeUs" dataDxfId="6"/>
    <tableColumn id="6" name="DfsTimeUs" dataDxfId="5"/>
    <tableColumn id="7" name="Теоретическая для вставки" dataDxfId="4">
      <calculatedColumnFormula>A2*LOG(A2,2)*0.01</calculatedColumnFormula>
    </tableColumn>
    <tableColumn id="8" name="Теоретическая для поиска" dataDxfId="3">
      <calculatedColumnFormula>LOG(A2,2)*7</calculatedColumnFormula>
    </tableColumn>
    <tableColumn id="9" name="Теоретическая для удаления" dataDxfId="2">
      <calculatedColumnFormula>LOG(A2,2)*7</calculatedColumnFormula>
    </tableColumn>
    <tableColumn id="10" name="Теоретическая для ширины" dataDxfId="1">
      <calculatedColumnFormula>A2*0.015</calculatedColumnFormula>
    </tableColumn>
    <tableColumn id="11" name="Теоретическая для глубины" dataDxfId="0">
      <calculatedColumnFormula>A2*0.012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topLeftCell="D1" zoomScale="55" zoomScaleNormal="100" workbookViewId="0">
      <selection activeCell="K5" sqref="K5"/>
    </sheetView>
  </sheetViews>
  <sheetFormatPr defaultRowHeight="14.4" x14ac:dyDescent="0.3"/>
  <cols>
    <col min="1" max="1" width="10.6640625" style="1" customWidth="1"/>
    <col min="2" max="2" width="16.109375" style="1" customWidth="1"/>
    <col min="3" max="3" width="16.33203125" style="1" customWidth="1"/>
    <col min="4" max="4" width="16" style="1" customWidth="1"/>
    <col min="5" max="6" width="13.88671875" style="1" customWidth="1"/>
    <col min="7" max="7" width="15.6640625" style="1" customWidth="1"/>
    <col min="8" max="8" width="19.109375" style="1" customWidth="1"/>
    <col min="9" max="9" width="19.21875" style="1" customWidth="1"/>
    <col min="10" max="10" width="18.77734375" style="1" customWidth="1"/>
    <col min="11" max="11" width="17.6640625" style="1" customWidth="1"/>
    <col min="12" max="16384" width="8.88671875" style="1"/>
  </cols>
  <sheetData>
    <row r="1" spans="1:11" ht="34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863</v>
      </c>
      <c r="B2" s="1">
        <v>71</v>
      </c>
      <c r="C2" s="1">
        <v>52</v>
      </c>
      <c r="D2" s="1">
        <v>57</v>
      </c>
      <c r="E2" s="1">
        <v>5</v>
      </c>
      <c r="F2" s="1">
        <v>4</v>
      </c>
      <c r="G2" s="1">
        <f t="shared" ref="G2:G33" si="0">A2*LOG(A2,2)*0.01</f>
        <v>84.170260545414394</v>
      </c>
      <c r="H2" s="1">
        <f t="shared" ref="H2:H33" si="1">LOG(A2,2)*7</f>
        <v>68.272517244252683</v>
      </c>
      <c r="I2" s="1">
        <f t="shared" ref="I2:I33" si="2">LOG(A2,2)*7</f>
        <v>68.272517244252683</v>
      </c>
      <c r="J2" s="1">
        <f t="shared" ref="J2:J33" si="3">A2*0.015</f>
        <v>12.945</v>
      </c>
      <c r="K2" s="1">
        <f t="shared" ref="K2:K33" si="4">A2*0.012</f>
        <v>10.356</v>
      </c>
    </row>
    <row r="3" spans="1:11" x14ac:dyDescent="0.3">
      <c r="A3" s="1">
        <v>1078</v>
      </c>
      <c r="B3" s="1">
        <v>124</v>
      </c>
      <c r="C3" s="1">
        <v>80</v>
      </c>
      <c r="D3" s="1">
        <v>216</v>
      </c>
      <c r="E3" s="1">
        <v>14</v>
      </c>
      <c r="F3" s="1">
        <v>13</v>
      </c>
      <c r="G3" s="1">
        <f t="shared" si="0"/>
        <v>108.59924496847202</v>
      </c>
      <c r="H3" s="1">
        <f t="shared" si="1"/>
        <v>70.518990239267538</v>
      </c>
      <c r="I3" s="1">
        <f t="shared" si="2"/>
        <v>70.518990239267538</v>
      </c>
      <c r="J3" s="1">
        <f t="shared" si="3"/>
        <v>16.169999999999998</v>
      </c>
      <c r="K3" s="1">
        <f t="shared" si="4"/>
        <v>12.936</v>
      </c>
    </row>
    <row r="4" spans="1:11" x14ac:dyDescent="0.3">
      <c r="A4" s="1">
        <v>2455</v>
      </c>
      <c r="B4" s="1">
        <v>250</v>
      </c>
      <c r="C4" s="1">
        <v>70</v>
      </c>
      <c r="D4" s="1">
        <v>96</v>
      </c>
      <c r="E4" s="1">
        <v>21</v>
      </c>
      <c r="F4" s="1">
        <v>20</v>
      </c>
      <c r="G4" s="1">
        <f t="shared" si="0"/>
        <v>276.47000444091049</v>
      </c>
      <c r="H4" s="1">
        <f t="shared" si="1"/>
        <v>78.830551164414388</v>
      </c>
      <c r="I4" s="1">
        <f t="shared" si="2"/>
        <v>78.830551164414388</v>
      </c>
      <c r="J4" s="1">
        <f t="shared" si="3"/>
        <v>36.824999999999996</v>
      </c>
      <c r="K4" s="1">
        <f t="shared" si="4"/>
        <v>29.46</v>
      </c>
    </row>
    <row r="5" spans="1:11" x14ac:dyDescent="0.3">
      <c r="A5" s="1">
        <v>2788</v>
      </c>
      <c r="B5" s="1">
        <v>285</v>
      </c>
      <c r="C5" s="1">
        <v>74</v>
      </c>
      <c r="D5" s="1">
        <v>82</v>
      </c>
      <c r="E5" s="1">
        <v>25</v>
      </c>
      <c r="F5" s="1">
        <v>24</v>
      </c>
      <c r="G5" s="1">
        <f t="shared" si="0"/>
        <v>319.08701390281169</v>
      </c>
      <c r="H5" s="1">
        <f t="shared" si="1"/>
        <v>80.115103921078969</v>
      </c>
      <c r="I5" s="1">
        <f t="shared" si="2"/>
        <v>80.115103921078969</v>
      </c>
      <c r="J5" s="1">
        <f t="shared" si="3"/>
        <v>41.82</v>
      </c>
      <c r="K5" s="1">
        <f t="shared" si="4"/>
        <v>33.456000000000003</v>
      </c>
    </row>
    <row r="6" spans="1:11" x14ac:dyDescent="0.3">
      <c r="A6" s="1">
        <v>3112</v>
      </c>
      <c r="B6" s="1">
        <v>319</v>
      </c>
      <c r="C6" s="1">
        <v>75</v>
      </c>
      <c r="D6" s="1">
        <v>84</v>
      </c>
      <c r="E6" s="1">
        <v>28</v>
      </c>
      <c r="F6" s="1">
        <v>29</v>
      </c>
      <c r="G6" s="1">
        <f t="shared" si="0"/>
        <v>361.10485185597037</v>
      </c>
      <c r="H6" s="1">
        <f t="shared" si="1"/>
        <v>81.225384414903345</v>
      </c>
      <c r="I6" s="1">
        <f t="shared" si="2"/>
        <v>81.225384414903345</v>
      </c>
      <c r="J6" s="1">
        <f t="shared" si="3"/>
        <v>46.68</v>
      </c>
      <c r="K6" s="1">
        <f t="shared" si="4"/>
        <v>37.344000000000001</v>
      </c>
    </row>
    <row r="7" spans="1:11" x14ac:dyDescent="0.3">
      <c r="A7" s="1">
        <v>5493</v>
      </c>
      <c r="B7" s="1">
        <v>568</v>
      </c>
      <c r="C7" s="1">
        <v>76</v>
      </c>
      <c r="D7" s="1">
        <v>85</v>
      </c>
      <c r="E7" s="1">
        <v>51</v>
      </c>
      <c r="F7" s="1">
        <v>43</v>
      </c>
      <c r="G7" s="1">
        <f t="shared" si="0"/>
        <v>682.41618520816075</v>
      </c>
      <c r="H7" s="1">
        <f t="shared" si="1"/>
        <v>86.963650035629456</v>
      </c>
      <c r="I7" s="1">
        <f t="shared" si="2"/>
        <v>86.963650035629456</v>
      </c>
      <c r="J7" s="1">
        <f t="shared" si="3"/>
        <v>82.394999999999996</v>
      </c>
      <c r="K7" s="1">
        <f t="shared" si="4"/>
        <v>65.915999999999997</v>
      </c>
    </row>
    <row r="8" spans="1:11" x14ac:dyDescent="0.3">
      <c r="A8" s="1">
        <v>6191</v>
      </c>
      <c r="B8" s="1">
        <v>751</v>
      </c>
      <c r="C8" s="1">
        <v>92</v>
      </c>
      <c r="D8" s="1">
        <v>108</v>
      </c>
      <c r="E8" s="1">
        <v>67</v>
      </c>
      <c r="F8" s="1">
        <v>53</v>
      </c>
      <c r="G8" s="1">
        <f t="shared" si="0"/>
        <v>779.81568201752123</v>
      </c>
      <c r="H8" s="1">
        <f t="shared" si="1"/>
        <v>88.171697207602136</v>
      </c>
      <c r="I8" s="1">
        <f t="shared" si="2"/>
        <v>88.171697207602136</v>
      </c>
      <c r="J8" s="1">
        <f t="shared" si="3"/>
        <v>92.864999999999995</v>
      </c>
      <c r="K8" s="1">
        <f t="shared" si="4"/>
        <v>74.292000000000002</v>
      </c>
    </row>
    <row r="9" spans="1:11" x14ac:dyDescent="0.3">
      <c r="A9" s="1">
        <v>7373</v>
      </c>
      <c r="B9" s="1">
        <v>1602</v>
      </c>
      <c r="C9" s="1">
        <v>170</v>
      </c>
      <c r="D9" s="1">
        <v>136</v>
      </c>
      <c r="E9" s="1">
        <v>114</v>
      </c>
      <c r="F9" s="1">
        <v>93</v>
      </c>
      <c r="G9" s="1">
        <f t="shared" si="0"/>
        <v>947.2856973495135</v>
      </c>
      <c r="H9" s="1">
        <f t="shared" si="1"/>
        <v>89.936252291422676</v>
      </c>
      <c r="I9" s="1">
        <f t="shared" si="2"/>
        <v>89.936252291422676</v>
      </c>
      <c r="J9" s="1">
        <f t="shared" si="3"/>
        <v>110.595</v>
      </c>
      <c r="K9" s="1">
        <f t="shared" si="4"/>
        <v>88.475999999999999</v>
      </c>
    </row>
    <row r="10" spans="1:11" x14ac:dyDescent="0.3">
      <c r="A10" s="1">
        <v>8385</v>
      </c>
      <c r="B10" s="1">
        <v>962</v>
      </c>
      <c r="C10" s="1">
        <v>89</v>
      </c>
      <c r="D10" s="1">
        <v>98</v>
      </c>
      <c r="E10" s="1">
        <v>78</v>
      </c>
      <c r="F10" s="1">
        <v>70</v>
      </c>
      <c r="G10" s="1">
        <f t="shared" si="0"/>
        <v>1092.8669464896757</v>
      </c>
      <c r="H10" s="1">
        <f t="shared" si="1"/>
        <v>91.235165479161964</v>
      </c>
      <c r="I10" s="1">
        <f t="shared" si="2"/>
        <v>91.235165479161964</v>
      </c>
      <c r="J10" s="1">
        <f t="shared" si="3"/>
        <v>125.77499999999999</v>
      </c>
      <c r="K10" s="1">
        <f t="shared" si="4"/>
        <v>100.62</v>
      </c>
    </row>
    <row r="11" spans="1:11" x14ac:dyDescent="0.3">
      <c r="A11" s="1">
        <v>9116</v>
      </c>
      <c r="B11" s="1">
        <v>1162</v>
      </c>
      <c r="C11" s="1">
        <v>92</v>
      </c>
      <c r="D11" s="1">
        <v>104</v>
      </c>
      <c r="E11" s="1">
        <v>138</v>
      </c>
      <c r="F11" s="1">
        <v>84</v>
      </c>
      <c r="G11" s="1">
        <f t="shared" si="0"/>
        <v>1199.1355236766246</v>
      </c>
      <c r="H11" s="1">
        <f t="shared" si="1"/>
        <v>92.079296464857094</v>
      </c>
      <c r="I11" s="1">
        <f t="shared" si="2"/>
        <v>92.079296464857094</v>
      </c>
      <c r="J11" s="1">
        <f t="shared" si="3"/>
        <v>136.74</v>
      </c>
      <c r="K11" s="1">
        <f t="shared" si="4"/>
        <v>109.392</v>
      </c>
    </row>
    <row r="12" spans="1:11" x14ac:dyDescent="0.3">
      <c r="A12" s="1">
        <v>10639</v>
      </c>
      <c r="B12" s="1">
        <v>1295</v>
      </c>
      <c r="C12" s="1">
        <v>98</v>
      </c>
      <c r="D12" s="1">
        <v>108</v>
      </c>
      <c r="E12" s="1">
        <v>110</v>
      </c>
      <c r="F12" s="1">
        <v>94</v>
      </c>
      <c r="G12" s="1">
        <f t="shared" si="0"/>
        <v>1423.1870020556087</v>
      </c>
      <c r="H12" s="1">
        <f t="shared" si="1"/>
        <v>93.639524526640287</v>
      </c>
      <c r="I12" s="1">
        <f t="shared" si="2"/>
        <v>93.639524526640287</v>
      </c>
      <c r="J12" s="1">
        <f t="shared" si="3"/>
        <v>159.58500000000001</v>
      </c>
      <c r="K12" s="1">
        <f t="shared" si="4"/>
        <v>127.66800000000001</v>
      </c>
    </row>
    <row r="13" spans="1:11" x14ac:dyDescent="0.3">
      <c r="A13" s="1">
        <v>11418</v>
      </c>
      <c r="B13" s="1">
        <v>1323</v>
      </c>
      <c r="C13" s="1">
        <v>96</v>
      </c>
      <c r="D13" s="1">
        <v>105</v>
      </c>
      <c r="E13" s="1">
        <v>114</v>
      </c>
      <c r="F13" s="1">
        <v>99</v>
      </c>
      <c r="G13" s="1">
        <f t="shared" si="0"/>
        <v>1539.0347715799098</v>
      </c>
      <c r="H13" s="1">
        <f t="shared" si="1"/>
        <v>94.353156428966258</v>
      </c>
      <c r="I13" s="1">
        <f t="shared" si="2"/>
        <v>94.353156428966258</v>
      </c>
      <c r="J13" s="1">
        <f t="shared" si="3"/>
        <v>171.26999999999998</v>
      </c>
      <c r="K13" s="1">
        <f t="shared" si="4"/>
        <v>137.01599999999999</v>
      </c>
    </row>
    <row r="14" spans="1:11" x14ac:dyDescent="0.3">
      <c r="A14" s="1">
        <v>12328</v>
      </c>
      <c r="B14" s="1">
        <v>1656</v>
      </c>
      <c r="C14" s="1">
        <v>152</v>
      </c>
      <c r="D14" s="1">
        <v>191</v>
      </c>
      <c r="E14" s="1">
        <v>128</v>
      </c>
      <c r="F14" s="1">
        <v>124</v>
      </c>
      <c r="G14" s="1">
        <f t="shared" si="0"/>
        <v>1675.3321933423431</v>
      </c>
      <c r="H14" s="1">
        <f t="shared" si="1"/>
        <v>95.12755802560352</v>
      </c>
      <c r="I14" s="1">
        <f t="shared" si="2"/>
        <v>95.12755802560352</v>
      </c>
      <c r="J14" s="1">
        <f t="shared" si="3"/>
        <v>184.92</v>
      </c>
      <c r="K14" s="1">
        <f t="shared" si="4"/>
        <v>147.93600000000001</v>
      </c>
    </row>
    <row r="15" spans="1:11" x14ac:dyDescent="0.3">
      <c r="A15" s="1">
        <v>18189</v>
      </c>
      <c r="B15" s="1">
        <v>2644</v>
      </c>
      <c r="C15" s="1">
        <v>148</v>
      </c>
      <c r="D15" s="1">
        <v>135</v>
      </c>
      <c r="E15" s="1">
        <v>203</v>
      </c>
      <c r="F15" s="1">
        <v>186</v>
      </c>
      <c r="G15" s="1">
        <f t="shared" si="0"/>
        <v>2573.8851209767527</v>
      </c>
      <c r="H15" s="1">
        <f t="shared" si="1"/>
        <v>99.055450254754348</v>
      </c>
      <c r="I15" s="1">
        <f t="shared" si="2"/>
        <v>99.055450254754348</v>
      </c>
      <c r="J15" s="1">
        <f t="shared" si="3"/>
        <v>272.83499999999998</v>
      </c>
      <c r="K15" s="1">
        <f t="shared" si="4"/>
        <v>218.268</v>
      </c>
    </row>
    <row r="16" spans="1:11" x14ac:dyDescent="0.3">
      <c r="A16" s="1">
        <v>18447</v>
      </c>
      <c r="B16" s="1">
        <v>2732</v>
      </c>
      <c r="C16" s="1">
        <v>139</v>
      </c>
      <c r="D16" s="1">
        <v>127</v>
      </c>
      <c r="E16" s="1">
        <v>196</v>
      </c>
      <c r="F16" s="1">
        <v>185</v>
      </c>
      <c r="G16" s="1">
        <f t="shared" si="0"/>
        <v>2614.1425573034376</v>
      </c>
      <c r="H16" s="1">
        <f t="shared" si="1"/>
        <v>99.197690145411514</v>
      </c>
      <c r="I16" s="1">
        <f t="shared" si="2"/>
        <v>99.197690145411514</v>
      </c>
      <c r="J16" s="1">
        <f t="shared" si="3"/>
        <v>276.70499999999998</v>
      </c>
      <c r="K16" s="1">
        <f t="shared" si="4"/>
        <v>221.364</v>
      </c>
    </row>
    <row r="17" spans="1:11" x14ac:dyDescent="0.3">
      <c r="A17" s="1">
        <v>19606</v>
      </c>
      <c r="B17" s="1">
        <v>2679</v>
      </c>
      <c r="C17" s="1">
        <v>154</v>
      </c>
      <c r="D17" s="1">
        <v>174</v>
      </c>
      <c r="E17" s="1">
        <v>234</v>
      </c>
      <c r="F17" s="1">
        <v>195</v>
      </c>
      <c r="G17" s="1">
        <f t="shared" si="0"/>
        <v>2795.6210315548019</v>
      </c>
      <c r="H17" s="1">
        <f t="shared" si="1"/>
        <v>99.813053253512265</v>
      </c>
      <c r="I17" s="1">
        <f t="shared" si="2"/>
        <v>99.813053253512265</v>
      </c>
      <c r="J17" s="1">
        <f t="shared" si="3"/>
        <v>294.08999999999997</v>
      </c>
      <c r="K17" s="1">
        <f t="shared" si="4"/>
        <v>235.27199999999999</v>
      </c>
    </row>
    <row r="18" spans="1:11" x14ac:dyDescent="0.3">
      <c r="A18" s="1">
        <v>21464</v>
      </c>
      <c r="B18" s="1">
        <v>3082</v>
      </c>
      <c r="C18" s="1">
        <v>187</v>
      </c>
      <c r="D18" s="1">
        <v>138</v>
      </c>
      <c r="E18" s="1">
        <v>227</v>
      </c>
      <c r="F18" s="1">
        <v>204</v>
      </c>
      <c r="G18" s="1">
        <f t="shared" si="0"/>
        <v>3088.5904706588785</v>
      </c>
      <c r="H18" s="1">
        <f t="shared" si="1"/>
        <v>100.72741937482365</v>
      </c>
      <c r="I18" s="1">
        <f t="shared" si="2"/>
        <v>100.72741937482365</v>
      </c>
      <c r="J18" s="1">
        <f t="shared" si="3"/>
        <v>321.95999999999998</v>
      </c>
      <c r="K18" s="1">
        <f t="shared" si="4"/>
        <v>257.56799999999998</v>
      </c>
    </row>
    <row r="19" spans="1:11" x14ac:dyDescent="0.3">
      <c r="A19" s="1">
        <v>27355</v>
      </c>
      <c r="B19" s="1">
        <v>4139</v>
      </c>
      <c r="C19" s="1">
        <v>238</v>
      </c>
      <c r="D19" s="1">
        <v>224</v>
      </c>
      <c r="E19" s="1">
        <v>352</v>
      </c>
      <c r="F19" s="1">
        <v>301</v>
      </c>
      <c r="G19" s="1">
        <f t="shared" si="0"/>
        <v>4031.9948576430925</v>
      </c>
      <c r="H19" s="1">
        <f t="shared" si="1"/>
        <v>103.17661854688959</v>
      </c>
      <c r="I19" s="1">
        <f t="shared" si="2"/>
        <v>103.17661854688959</v>
      </c>
      <c r="J19" s="1">
        <f t="shared" si="3"/>
        <v>410.32499999999999</v>
      </c>
      <c r="K19" s="1">
        <f t="shared" si="4"/>
        <v>328.26</v>
      </c>
    </row>
    <row r="20" spans="1:11" x14ac:dyDescent="0.3">
      <c r="A20" s="1">
        <v>28345</v>
      </c>
      <c r="B20" s="1">
        <v>4341</v>
      </c>
      <c r="C20" s="1">
        <v>193</v>
      </c>
      <c r="D20" s="1">
        <v>148</v>
      </c>
      <c r="E20" s="1">
        <v>308</v>
      </c>
      <c r="F20" s="1">
        <v>290</v>
      </c>
      <c r="G20" s="1">
        <f t="shared" si="0"/>
        <v>4192.4541445759387</v>
      </c>
      <c r="H20" s="1">
        <f t="shared" si="1"/>
        <v>103.53564654094751</v>
      </c>
      <c r="I20" s="1">
        <f t="shared" si="2"/>
        <v>103.53564654094751</v>
      </c>
      <c r="J20" s="1">
        <f t="shared" si="3"/>
        <v>425.17500000000001</v>
      </c>
      <c r="K20" s="1">
        <f t="shared" si="4"/>
        <v>340.14</v>
      </c>
    </row>
    <row r="21" spans="1:11" x14ac:dyDescent="0.3">
      <c r="A21" s="1">
        <v>29047</v>
      </c>
      <c r="B21" s="1">
        <v>5348</v>
      </c>
      <c r="C21" s="1">
        <v>221</v>
      </c>
      <c r="D21" s="1">
        <v>203</v>
      </c>
      <c r="E21" s="1">
        <v>396</v>
      </c>
      <c r="F21" s="1">
        <v>335</v>
      </c>
      <c r="G21" s="1">
        <f t="shared" si="0"/>
        <v>4306.5377166609405</v>
      </c>
      <c r="H21" s="1">
        <f t="shared" si="1"/>
        <v>103.78271083632244</v>
      </c>
      <c r="I21" s="1">
        <f t="shared" si="2"/>
        <v>103.78271083632244</v>
      </c>
      <c r="J21" s="1">
        <f t="shared" si="3"/>
        <v>435.70499999999998</v>
      </c>
      <c r="K21" s="1">
        <f t="shared" si="4"/>
        <v>348.56400000000002</v>
      </c>
    </row>
    <row r="22" spans="1:11" x14ac:dyDescent="0.3">
      <c r="A22" s="1">
        <v>31224</v>
      </c>
      <c r="B22" s="1">
        <v>5221</v>
      </c>
      <c r="C22" s="1">
        <v>216</v>
      </c>
      <c r="D22" s="1">
        <v>178</v>
      </c>
      <c r="E22" s="1">
        <v>541</v>
      </c>
      <c r="F22" s="1">
        <v>383</v>
      </c>
      <c r="G22" s="1">
        <f t="shared" si="0"/>
        <v>4661.8580254603385</v>
      </c>
      <c r="H22" s="1">
        <f t="shared" si="1"/>
        <v>104.51257423207267</v>
      </c>
      <c r="I22" s="1">
        <f t="shared" si="2"/>
        <v>104.51257423207267</v>
      </c>
      <c r="J22" s="1">
        <f t="shared" si="3"/>
        <v>468.35999999999996</v>
      </c>
      <c r="K22" s="1">
        <f t="shared" si="4"/>
        <v>374.68799999999999</v>
      </c>
    </row>
    <row r="23" spans="1:11" x14ac:dyDescent="0.3">
      <c r="A23" s="1">
        <v>32595</v>
      </c>
      <c r="B23" s="1">
        <v>5488</v>
      </c>
      <c r="C23" s="1">
        <v>262</v>
      </c>
      <c r="D23" s="1">
        <v>192</v>
      </c>
      <c r="E23" s="1">
        <v>1586</v>
      </c>
      <c r="F23" s="1">
        <v>371</v>
      </c>
      <c r="G23" s="1">
        <f t="shared" si="0"/>
        <v>4886.7607377087361</v>
      </c>
      <c r="H23" s="1">
        <f t="shared" si="1"/>
        <v>104.94654138352861</v>
      </c>
      <c r="I23" s="1">
        <f t="shared" si="2"/>
        <v>104.94654138352861</v>
      </c>
      <c r="J23" s="1">
        <f t="shared" si="3"/>
        <v>488.92499999999995</v>
      </c>
      <c r="K23" s="1">
        <f t="shared" si="4"/>
        <v>391.14</v>
      </c>
    </row>
    <row r="24" spans="1:11" x14ac:dyDescent="0.3">
      <c r="A24" s="1">
        <v>36110</v>
      </c>
      <c r="B24" s="1">
        <v>6312</v>
      </c>
      <c r="C24" s="1">
        <v>281</v>
      </c>
      <c r="D24" s="1">
        <v>235</v>
      </c>
      <c r="E24" s="1">
        <v>482</v>
      </c>
      <c r="F24" s="1">
        <v>442</v>
      </c>
      <c r="G24" s="1">
        <f t="shared" si="0"/>
        <v>5467.0940098207802</v>
      </c>
      <c r="H24" s="1">
        <f t="shared" si="1"/>
        <v>105.98077559885202</v>
      </c>
      <c r="I24" s="1">
        <f t="shared" si="2"/>
        <v>105.98077559885202</v>
      </c>
      <c r="J24" s="1">
        <f t="shared" si="3"/>
        <v>541.65</v>
      </c>
      <c r="K24" s="1">
        <f t="shared" si="4"/>
        <v>433.32</v>
      </c>
    </row>
    <row r="25" spans="1:11" x14ac:dyDescent="0.3">
      <c r="A25" s="1">
        <v>36556</v>
      </c>
      <c r="B25" s="1">
        <v>5781</v>
      </c>
      <c r="C25" s="1">
        <v>196</v>
      </c>
      <c r="D25" s="1">
        <v>162</v>
      </c>
      <c r="E25" s="1">
        <v>433</v>
      </c>
      <c r="F25" s="1">
        <v>405</v>
      </c>
      <c r="G25" s="1">
        <f t="shared" si="0"/>
        <v>5541.0928975174147</v>
      </c>
      <c r="H25" s="1">
        <f t="shared" si="1"/>
        <v>106.1047441804954</v>
      </c>
      <c r="I25" s="1">
        <f t="shared" si="2"/>
        <v>106.1047441804954</v>
      </c>
      <c r="J25" s="1">
        <f t="shared" si="3"/>
        <v>548.34</v>
      </c>
      <c r="K25" s="1">
        <f t="shared" si="4"/>
        <v>438.67200000000003</v>
      </c>
    </row>
    <row r="26" spans="1:11" x14ac:dyDescent="0.3">
      <c r="A26" s="1">
        <v>36649</v>
      </c>
      <c r="B26" s="1">
        <v>6963</v>
      </c>
      <c r="C26" s="1">
        <v>262</v>
      </c>
      <c r="D26" s="1">
        <v>188</v>
      </c>
      <c r="E26" s="1">
        <v>467</v>
      </c>
      <c r="F26" s="1">
        <v>402</v>
      </c>
      <c r="G26" s="1">
        <f t="shared" si="0"/>
        <v>5556.5330822941141</v>
      </c>
      <c r="H26" s="1">
        <f t="shared" si="1"/>
        <v>106.13040349275231</v>
      </c>
      <c r="I26" s="1">
        <f t="shared" si="2"/>
        <v>106.13040349275231</v>
      </c>
      <c r="J26" s="1">
        <f t="shared" si="3"/>
        <v>549.73500000000001</v>
      </c>
      <c r="K26" s="1">
        <f t="shared" si="4"/>
        <v>439.78800000000001</v>
      </c>
    </row>
    <row r="27" spans="1:11" x14ac:dyDescent="0.3">
      <c r="A27" s="1">
        <v>39336</v>
      </c>
      <c r="B27" s="1">
        <v>6916</v>
      </c>
      <c r="C27" s="1">
        <v>249</v>
      </c>
      <c r="D27" s="1">
        <v>167</v>
      </c>
      <c r="E27" s="1">
        <v>479</v>
      </c>
      <c r="F27" s="1">
        <v>454</v>
      </c>
      <c r="G27" s="1">
        <f t="shared" si="0"/>
        <v>6004.0749999998379</v>
      </c>
      <c r="H27" s="1">
        <f t="shared" si="1"/>
        <v>106.84493847874431</v>
      </c>
      <c r="I27" s="1">
        <f t="shared" si="2"/>
        <v>106.84493847874431</v>
      </c>
      <c r="J27" s="1">
        <f t="shared" si="3"/>
        <v>590.04</v>
      </c>
      <c r="K27" s="1">
        <f t="shared" si="4"/>
        <v>472.03199999999998</v>
      </c>
    </row>
    <row r="28" spans="1:11" x14ac:dyDescent="0.3">
      <c r="A28" s="1">
        <v>39432</v>
      </c>
      <c r="B28" s="1">
        <v>6702</v>
      </c>
      <c r="C28" s="1">
        <v>188</v>
      </c>
      <c r="D28" s="1">
        <v>194</v>
      </c>
      <c r="E28" s="1">
        <v>547</v>
      </c>
      <c r="F28" s="1">
        <v>470</v>
      </c>
      <c r="G28" s="1">
        <f t="shared" si="0"/>
        <v>6020.1146960394799</v>
      </c>
      <c r="H28" s="1">
        <f t="shared" si="1"/>
        <v>106.86955485969861</v>
      </c>
      <c r="I28" s="1">
        <f t="shared" si="2"/>
        <v>106.86955485969861</v>
      </c>
      <c r="J28" s="1">
        <f t="shared" si="3"/>
        <v>591.48</v>
      </c>
      <c r="K28" s="1">
        <f t="shared" si="4"/>
        <v>473.18400000000003</v>
      </c>
    </row>
    <row r="29" spans="1:11" x14ac:dyDescent="0.3">
      <c r="A29" s="1">
        <v>40128</v>
      </c>
      <c r="B29" s="1">
        <v>5852</v>
      </c>
      <c r="C29" s="1">
        <v>195</v>
      </c>
      <c r="D29" s="1">
        <v>151</v>
      </c>
      <c r="E29" s="1">
        <v>476</v>
      </c>
      <c r="F29" s="1">
        <v>441</v>
      </c>
      <c r="G29" s="1">
        <f t="shared" si="0"/>
        <v>6136.5028248108028</v>
      </c>
      <c r="H29" s="1">
        <f t="shared" si="1"/>
        <v>107.04625142961427</v>
      </c>
      <c r="I29" s="1">
        <f t="shared" si="2"/>
        <v>107.04625142961427</v>
      </c>
      <c r="J29" s="1">
        <f t="shared" si="3"/>
        <v>601.91999999999996</v>
      </c>
      <c r="K29" s="1">
        <f t="shared" si="4"/>
        <v>481.536</v>
      </c>
    </row>
    <row r="30" spans="1:11" x14ac:dyDescent="0.3">
      <c r="A30" s="1">
        <v>40845</v>
      </c>
      <c r="B30" s="1">
        <v>9123</v>
      </c>
      <c r="C30" s="1">
        <v>305</v>
      </c>
      <c r="D30" s="1">
        <v>211</v>
      </c>
      <c r="E30" s="1">
        <v>595</v>
      </c>
      <c r="F30" s="1">
        <v>516</v>
      </c>
      <c r="G30" s="1">
        <f t="shared" si="0"/>
        <v>6256.5847623003383</v>
      </c>
      <c r="H30" s="1">
        <f t="shared" si="1"/>
        <v>107.2251030385662</v>
      </c>
      <c r="I30" s="1">
        <f t="shared" si="2"/>
        <v>107.2251030385662</v>
      </c>
      <c r="J30" s="1">
        <f t="shared" si="3"/>
        <v>612.67499999999995</v>
      </c>
      <c r="K30" s="1">
        <f t="shared" si="4"/>
        <v>490.14</v>
      </c>
    </row>
    <row r="31" spans="1:11" x14ac:dyDescent="0.3">
      <c r="A31" s="1">
        <v>43128</v>
      </c>
      <c r="B31" s="1">
        <v>9522</v>
      </c>
      <c r="C31" s="1">
        <v>376</v>
      </c>
      <c r="D31" s="1">
        <v>250</v>
      </c>
      <c r="E31" s="1">
        <v>797</v>
      </c>
      <c r="F31" s="1">
        <v>684</v>
      </c>
      <c r="G31" s="1">
        <f t="shared" si="0"/>
        <v>6640.1323051279878</v>
      </c>
      <c r="H31" s="1">
        <f t="shared" si="1"/>
        <v>107.77436035961769</v>
      </c>
      <c r="I31" s="1">
        <f t="shared" si="2"/>
        <v>107.77436035961769</v>
      </c>
      <c r="J31" s="1">
        <f t="shared" si="3"/>
        <v>646.91999999999996</v>
      </c>
      <c r="K31" s="1">
        <f t="shared" si="4"/>
        <v>517.53600000000006</v>
      </c>
    </row>
    <row r="32" spans="1:11" x14ac:dyDescent="0.3">
      <c r="A32" s="1">
        <v>43575</v>
      </c>
      <c r="B32" s="1">
        <v>8379</v>
      </c>
      <c r="C32" s="1">
        <v>212</v>
      </c>
      <c r="D32" s="1">
        <v>206</v>
      </c>
      <c r="E32" s="1">
        <v>534</v>
      </c>
      <c r="F32" s="1">
        <v>483</v>
      </c>
      <c r="G32" s="1">
        <f t="shared" si="0"/>
        <v>6715.4360838796038</v>
      </c>
      <c r="H32" s="1">
        <f t="shared" si="1"/>
        <v>107.87849130730288</v>
      </c>
      <c r="I32" s="1">
        <f t="shared" si="2"/>
        <v>107.87849130730288</v>
      </c>
      <c r="J32" s="1">
        <f t="shared" si="3"/>
        <v>653.625</v>
      </c>
      <c r="K32" s="1">
        <f t="shared" si="4"/>
        <v>522.9</v>
      </c>
    </row>
    <row r="33" spans="1:11" x14ac:dyDescent="0.3">
      <c r="A33" s="1">
        <v>43583</v>
      </c>
      <c r="B33" s="1">
        <v>8042</v>
      </c>
      <c r="C33" s="1">
        <v>246</v>
      </c>
      <c r="D33" s="1">
        <v>190</v>
      </c>
      <c r="E33" s="1">
        <v>688</v>
      </c>
      <c r="F33" s="1">
        <v>501</v>
      </c>
      <c r="G33" s="1">
        <f t="shared" si="0"/>
        <v>6716.7844071204017</v>
      </c>
      <c r="H33" s="1">
        <f t="shared" si="1"/>
        <v>107.88034520304434</v>
      </c>
      <c r="I33" s="1">
        <f t="shared" si="2"/>
        <v>107.88034520304434</v>
      </c>
      <c r="J33" s="1">
        <f t="shared" si="3"/>
        <v>653.745</v>
      </c>
      <c r="K33" s="1">
        <f t="shared" si="4"/>
        <v>522.99599999999998</v>
      </c>
    </row>
    <row r="34" spans="1:11" x14ac:dyDescent="0.3">
      <c r="A34" s="1">
        <v>45800</v>
      </c>
      <c r="B34" s="1">
        <v>7541</v>
      </c>
      <c r="C34" s="1">
        <v>233</v>
      </c>
      <c r="D34" s="1">
        <v>169</v>
      </c>
      <c r="E34" s="1">
        <v>530</v>
      </c>
      <c r="F34" s="1">
        <v>674</v>
      </c>
      <c r="G34" s="1">
        <f t="shared" ref="G34:G65" si="5">A34*LOG(A34,2)*0.01</f>
        <v>7091.2414698652246</v>
      </c>
      <c r="H34" s="1">
        <f t="shared" ref="H34:H65" si="6">LOG(A34,2)*7</f>
        <v>108.38141984510168</v>
      </c>
      <c r="I34" s="1">
        <f t="shared" ref="I34:I65" si="7">LOG(A34,2)*7</f>
        <v>108.38141984510168</v>
      </c>
      <c r="J34" s="1">
        <f t="shared" ref="J34:J65" si="8">A34*0.015</f>
        <v>687</v>
      </c>
      <c r="K34" s="1">
        <f t="shared" ref="K34:K65" si="9">A34*0.012</f>
        <v>549.6</v>
      </c>
    </row>
    <row r="35" spans="1:11" x14ac:dyDescent="0.3">
      <c r="A35" s="1">
        <v>45832</v>
      </c>
      <c r="B35" s="1">
        <v>7670</v>
      </c>
      <c r="C35" s="1">
        <v>271</v>
      </c>
      <c r="D35" s="1">
        <v>211</v>
      </c>
      <c r="E35" s="1">
        <v>619</v>
      </c>
      <c r="F35" s="1">
        <v>508</v>
      </c>
      <c r="G35" s="1">
        <f t="shared" si="5"/>
        <v>7096.6578727131246</v>
      </c>
      <c r="H35" s="1">
        <f t="shared" si="6"/>
        <v>108.38847335702539</v>
      </c>
      <c r="I35" s="1">
        <f t="shared" si="7"/>
        <v>108.38847335702539</v>
      </c>
      <c r="J35" s="1">
        <f t="shared" si="8"/>
        <v>687.48</v>
      </c>
      <c r="K35" s="1">
        <f t="shared" si="9"/>
        <v>549.98400000000004</v>
      </c>
    </row>
    <row r="36" spans="1:11" x14ac:dyDescent="0.3">
      <c r="A36" s="1">
        <v>46082</v>
      </c>
      <c r="B36" s="1">
        <v>7900</v>
      </c>
      <c r="C36" s="1">
        <v>325</v>
      </c>
      <c r="D36" s="1">
        <v>356</v>
      </c>
      <c r="E36" s="1">
        <v>601</v>
      </c>
      <c r="F36" s="1">
        <v>555</v>
      </c>
      <c r="G36" s="1">
        <f t="shared" si="5"/>
        <v>7138.9845983776186</v>
      </c>
      <c r="H36" s="1">
        <f t="shared" si="6"/>
        <v>108.4434099836017</v>
      </c>
      <c r="I36" s="1">
        <f t="shared" si="7"/>
        <v>108.4434099836017</v>
      </c>
      <c r="J36" s="1">
        <f t="shared" si="8"/>
        <v>691.23</v>
      </c>
      <c r="K36" s="1">
        <f t="shared" si="9"/>
        <v>552.98400000000004</v>
      </c>
    </row>
    <row r="37" spans="1:11" x14ac:dyDescent="0.3">
      <c r="A37" s="1">
        <v>46162</v>
      </c>
      <c r="B37" s="1">
        <v>7387</v>
      </c>
      <c r="C37" s="1">
        <v>245</v>
      </c>
      <c r="D37" s="1">
        <v>169</v>
      </c>
      <c r="E37" s="1">
        <v>554</v>
      </c>
      <c r="F37" s="1">
        <v>527</v>
      </c>
      <c r="G37" s="1">
        <f t="shared" si="5"/>
        <v>7152.5332882287257</v>
      </c>
      <c r="H37" s="1">
        <f t="shared" si="6"/>
        <v>108.46092677440552</v>
      </c>
      <c r="I37" s="1">
        <f t="shared" si="7"/>
        <v>108.46092677440552</v>
      </c>
      <c r="J37" s="1">
        <f t="shared" si="8"/>
        <v>692.43</v>
      </c>
      <c r="K37" s="1">
        <f t="shared" si="9"/>
        <v>553.94399999999996</v>
      </c>
    </row>
    <row r="38" spans="1:11" x14ac:dyDescent="0.3">
      <c r="A38" s="1">
        <v>47740</v>
      </c>
      <c r="B38" s="1">
        <v>11158</v>
      </c>
      <c r="C38" s="1">
        <v>331</v>
      </c>
      <c r="D38" s="1">
        <v>202</v>
      </c>
      <c r="E38" s="1">
        <v>612</v>
      </c>
      <c r="F38" s="1">
        <v>579</v>
      </c>
      <c r="G38" s="1">
        <f t="shared" si="5"/>
        <v>7420.1856856056675</v>
      </c>
      <c r="H38" s="1">
        <f t="shared" si="6"/>
        <v>108.80037662178398</v>
      </c>
      <c r="I38" s="1">
        <f t="shared" si="7"/>
        <v>108.80037662178398</v>
      </c>
      <c r="J38" s="1">
        <f t="shared" si="8"/>
        <v>716.1</v>
      </c>
      <c r="K38" s="1">
        <f t="shared" si="9"/>
        <v>572.88</v>
      </c>
    </row>
    <row r="39" spans="1:11" x14ac:dyDescent="0.3">
      <c r="A39" s="1">
        <v>47971</v>
      </c>
      <c r="B39" s="1">
        <v>8492</v>
      </c>
      <c r="C39" s="1">
        <v>284</v>
      </c>
      <c r="D39" s="1">
        <v>186</v>
      </c>
      <c r="E39" s="1">
        <v>615</v>
      </c>
      <c r="F39" s="1">
        <v>565</v>
      </c>
      <c r="G39" s="1">
        <f t="shared" si="5"/>
        <v>7459.4304852658952</v>
      </c>
      <c r="H39" s="1">
        <f t="shared" si="6"/>
        <v>108.84912425603233</v>
      </c>
      <c r="I39" s="1">
        <f t="shared" si="7"/>
        <v>108.84912425603233</v>
      </c>
      <c r="J39" s="1">
        <f t="shared" si="8"/>
        <v>719.56499999999994</v>
      </c>
      <c r="K39" s="1">
        <f t="shared" si="9"/>
        <v>575.65200000000004</v>
      </c>
    </row>
    <row r="40" spans="1:11" x14ac:dyDescent="0.3">
      <c r="A40" s="1">
        <v>48440</v>
      </c>
      <c r="B40" s="1">
        <v>8506</v>
      </c>
      <c r="C40" s="1">
        <v>296</v>
      </c>
      <c r="D40" s="1">
        <v>187</v>
      </c>
      <c r="E40" s="1">
        <v>607</v>
      </c>
      <c r="F40" s="1">
        <v>588</v>
      </c>
      <c r="G40" s="1">
        <f t="shared" si="5"/>
        <v>7539.1586068753722</v>
      </c>
      <c r="H40" s="1">
        <f t="shared" si="6"/>
        <v>108.94737871207185</v>
      </c>
      <c r="I40" s="1">
        <f t="shared" si="7"/>
        <v>108.94737871207185</v>
      </c>
      <c r="J40" s="1">
        <f t="shared" si="8"/>
        <v>726.6</v>
      </c>
      <c r="K40" s="1">
        <f t="shared" si="9"/>
        <v>581.28</v>
      </c>
    </row>
    <row r="41" spans="1:11" x14ac:dyDescent="0.3">
      <c r="A41" s="1">
        <v>50110</v>
      </c>
      <c r="B41" s="1">
        <v>8828</v>
      </c>
      <c r="C41" s="1">
        <v>232</v>
      </c>
      <c r="D41" s="1">
        <v>171</v>
      </c>
      <c r="E41" s="1">
        <v>594</v>
      </c>
      <c r="F41" s="1">
        <v>613</v>
      </c>
      <c r="G41" s="1">
        <f t="shared" si="5"/>
        <v>7823.5795506675195</v>
      </c>
      <c r="H41" s="1">
        <f t="shared" si="6"/>
        <v>109.28967642121859</v>
      </c>
      <c r="I41" s="1">
        <f t="shared" si="7"/>
        <v>109.28967642121859</v>
      </c>
      <c r="J41" s="1">
        <f t="shared" si="8"/>
        <v>751.65</v>
      </c>
      <c r="K41" s="1">
        <f t="shared" si="9"/>
        <v>601.32000000000005</v>
      </c>
    </row>
    <row r="42" spans="1:11" x14ac:dyDescent="0.3">
      <c r="A42" s="1">
        <v>50421</v>
      </c>
      <c r="B42" s="1">
        <v>10343</v>
      </c>
      <c r="C42" s="1">
        <v>294</v>
      </c>
      <c r="D42" s="1">
        <v>204</v>
      </c>
      <c r="E42" s="1">
        <v>717</v>
      </c>
      <c r="F42" s="1">
        <v>657</v>
      </c>
      <c r="G42" s="1">
        <f t="shared" si="5"/>
        <v>7876.6360687419374</v>
      </c>
      <c r="H42" s="1">
        <f t="shared" si="6"/>
        <v>109.35215977706424</v>
      </c>
      <c r="I42" s="1">
        <f t="shared" si="7"/>
        <v>109.35215977706424</v>
      </c>
      <c r="J42" s="1">
        <f t="shared" si="8"/>
        <v>756.31499999999994</v>
      </c>
      <c r="K42" s="1">
        <f t="shared" si="9"/>
        <v>605.05200000000002</v>
      </c>
    </row>
    <row r="43" spans="1:11" x14ac:dyDescent="0.3">
      <c r="A43" s="1">
        <v>51691</v>
      </c>
      <c r="B43" s="1">
        <v>9560</v>
      </c>
      <c r="C43" s="1">
        <v>283</v>
      </c>
      <c r="D43" s="1">
        <v>196</v>
      </c>
      <c r="E43" s="1">
        <v>755</v>
      </c>
      <c r="F43" s="1">
        <v>663</v>
      </c>
      <c r="G43" s="1">
        <f t="shared" si="5"/>
        <v>8093.583193115498</v>
      </c>
      <c r="H43" s="1">
        <f t="shared" si="6"/>
        <v>109.60337844461993</v>
      </c>
      <c r="I43" s="1">
        <f t="shared" si="7"/>
        <v>109.60337844461993</v>
      </c>
      <c r="J43" s="1">
        <f t="shared" si="8"/>
        <v>775.36500000000001</v>
      </c>
      <c r="K43" s="1">
        <f t="shared" si="9"/>
        <v>620.29200000000003</v>
      </c>
    </row>
    <row r="44" spans="1:11" x14ac:dyDescent="0.3">
      <c r="A44" s="1">
        <v>54664</v>
      </c>
      <c r="B44" s="1">
        <v>10618</v>
      </c>
      <c r="C44" s="1">
        <v>399</v>
      </c>
      <c r="D44" s="1">
        <v>255</v>
      </c>
      <c r="E44" s="1">
        <v>829</v>
      </c>
      <c r="F44" s="1">
        <v>748</v>
      </c>
      <c r="G44" s="1">
        <f t="shared" si="5"/>
        <v>8603.186176848496</v>
      </c>
      <c r="H44" s="1">
        <f t="shared" si="6"/>
        <v>110.16812388032247</v>
      </c>
      <c r="I44" s="1">
        <f t="shared" si="7"/>
        <v>110.16812388032247</v>
      </c>
      <c r="J44" s="1">
        <f t="shared" si="8"/>
        <v>819.95999999999992</v>
      </c>
      <c r="K44" s="1">
        <f t="shared" si="9"/>
        <v>655.96799999999996</v>
      </c>
    </row>
    <row r="45" spans="1:11" x14ac:dyDescent="0.3">
      <c r="A45" s="1">
        <v>58237</v>
      </c>
      <c r="B45" s="1">
        <v>12624</v>
      </c>
      <c r="C45" s="1">
        <v>347</v>
      </c>
      <c r="D45" s="1">
        <v>327</v>
      </c>
      <c r="E45" s="1">
        <v>1115</v>
      </c>
      <c r="F45" s="1">
        <v>1090</v>
      </c>
      <c r="G45" s="1">
        <f t="shared" si="5"/>
        <v>9218.7123494955813</v>
      </c>
      <c r="H45" s="1">
        <f t="shared" si="6"/>
        <v>110.8075389296651</v>
      </c>
      <c r="I45" s="1">
        <f t="shared" si="7"/>
        <v>110.8075389296651</v>
      </c>
      <c r="J45" s="1">
        <f t="shared" si="8"/>
        <v>873.55499999999995</v>
      </c>
      <c r="K45" s="1">
        <f t="shared" si="9"/>
        <v>698.84400000000005</v>
      </c>
    </row>
    <row r="46" spans="1:11" x14ac:dyDescent="0.3">
      <c r="A46" s="1">
        <v>60646</v>
      </c>
      <c r="B46" s="1">
        <v>10940</v>
      </c>
      <c r="C46" s="1">
        <v>252</v>
      </c>
      <c r="D46" s="1">
        <v>195</v>
      </c>
      <c r="E46" s="1">
        <v>778</v>
      </c>
      <c r="F46" s="1">
        <v>706</v>
      </c>
      <c r="G46" s="1">
        <f t="shared" si="5"/>
        <v>9635.5122103993472</v>
      </c>
      <c r="H46" s="1">
        <f t="shared" si="6"/>
        <v>111.21687411007393</v>
      </c>
      <c r="I46" s="1">
        <f t="shared" si="7"/>
        <v>111.21687411007393</v>
      </c>
      <c r="J46" s="1">
        <f t="shared" si="8"/>
        <v>909.68999999999994</v>
      </c>
      <c r="K46" s="1">
        <f t="shared" si="9"/>
        <v>727.75200000000007</v>
      </c>
    </row>
    <row r="47" spans="1:11" x14ac:dyDescent="0.3">
      <c r="A47" s="1">
        <v>61292</v>
      </c>
      <c r="B47" s="1">
        <v>11606</v>
      </c>
      <c r="C47" s="1">
        <v>328</v>
      </c>
      <c r="D47" s="1">
        <v>217</v>
      </c>
      <c r="E47" s="1">
        <v>878</v>
      </c>
      <c r="F47" s="1">
        <v>759</v>
      </c>
      <c r="G47" s="1">
        <f t="shared" si="5"/>
        <v>9747.5187689463328</v>
      </c>
      <c r="H47" s="1">
        <f t="shared" si="6"/>
        <v>111.32387812866986</v>
      </c>
      <c r="I47" s="1">
        <f t="shared" si="7"/>
        <v>111.32387812866986</v>
      </c>
      <c r="J47" s="1">
        <f t="shared" si="8"/>
        <v>919.38</v>
      </c>
      <c r="K47" s="1">
        <f t="shared" si="9"/>
        <v>735.50400000000002</v>
      </c>
    </row>
    <row r="48" spans="1:11" x14ac:dyDescent="0.3">
      <c r="A48" s="1">
        <v>63127</v>
      </c>
      <c r="B48" s="1">
        <v>13004</v>
      </c>
      <c r="C48" s="1">
        <v>229</v>
      </c>
      <c r="D48" s="1">
        <v>182</v>
      </c>
      <c r="E48" s="1">
        <v>759</v>
      </c>
      <c r="F48" s="1">
        <v>776</v>
      </c>
      <c r="G48" s="1">
        <f t="shared" si="5"/>
        <v>10066.21221091281</v>
      </c>
      <c r="H48" s="1">
        <f t="shared" si="6"/>
        <v>111.62178699508875</v>
      </c>
      <c r="I48" s="1">
        <f t="shared" si="7"/>
        <v>111.62178699508875</v>
      </c>
      <c r="J48" s="1">
        <f t="shared" si="8"/>
        <v>946.90499999999997</v>
      </c>
      <c r="K48" s="1">
        <f t="shared" si="9"/>
        <v>757.524</v>
      </c>
    </row>
    <row r="49" spans="1:11" x14ac:dyDescent="0.3">
      <c r="A49" s="1">
        <v>64506</v>
      </c>
      <c r="B49" s="1">
        <v>14355</v>
      </c>
      <c r="C49" s="1">
        <v>372</v>
      </c>
      <c r="D49" s="1">
        <v>198</v>
      </c>
      <c r="E49" s="1">
        <v>967</v>
      </c>
      <c r="F49" s="1">
        <v>874</v>
      </c>
      <c r="G49" s="1">
        <f t="shared" si="5"/>
        <v>10306.217629775905</v>
      </c>
      <c r="H49" s="1">
        <f t="shared" si="6"/>
        <v>111.84002016623467</v>
      </c>
      <c r="I49" s="1">
        <f t="shared" si="7"/>
        <v>111.84002016623467</v>
      </c>
      <c r="J49" s="1">
        <f t="shared" si="8"/>
        <v>967.58999999999992</v>
      </c>
      <c r="K49" s="1">
        <f t="shared" si="9"/>
        <v>774.072</v>
      </c>
    </row>
    <row r="50" spans="1:11" x14ac:dyDescent="0.3">
      <c r="A50" s="1">
        <v>65521</v>
      </c>
      <c r="B50" s="1">
        <v>17664</v>
      </c>
      <c r="C50" s="1">
        <v>397</v>
      </c>
      <c r="D50" s="1">
        <v>275</v>
      </c>
      <c r="E50" s="1">
        <v>1292</v>
      </c>
      <c r="F50" s="1">
        <v>1078</v>
      </c>
      <c r="G50" s="1">
        <f t="shared" si="5"/>
        <v>10483.143620511259</v>
      </c>
      <c r="H50" s="1">
        <f t="shared" si="6"/>
        <v>111.99768828860795</v>
      </c>
      <c r="I50" s="1">
        <f t="shared" si="7"/>
        <v>111.99768828860795</v>
      </c>
      <c r="J50" s="1">
        <f t="shared" si="8"/>
        <v>982.81499999999994</v>
      </c>
      <c r="K50" s="1">
        <f t="shared" si="9"/>
        <v>786.25200000000007</v>
      </c>
    </row>
    <row r="51" spans="1:11" x14ac:dyDescent="0.3">
      <c r="A51" s="1">
        <v>66779</v>
      </c>
      <c r="B51" s="1">
        <v>16404</v>
      </c>
      <c r="C51" s="1">
        <v>350</v>
      </c>
      <c r="D51" s="1">
        <v>275</v>
      </c>
      <c r="E51" s="1">
        <v>871</v>
      </c>
      <c r="F51" s="1">
        <v>820</v>
      </c>
      <c r="G51" s="1">
        <f t="shared" si="5"/>
        <v>10702.741696109211</v>
      </c>
      <c r="H51" s="1">
        <f t="shared" si="6"/>
        <v>112.1897480836258</v>
      </c>
      <c r="I51" s="1">
        <f t="shared" si="7"/>
        <v>112.1897480836258</v>
      </c>
      <c r="J51" s="1">
        <f t="shared" si="8"/>
        <v>1001.6849999999999</v>
      </c>
      <c r="K51" s="1">
        <f t="shared" si="9"/>
        <v>801.34800000000007</v>
      </c>
    </row>
    <row r="52" spans="1:11" x14ac:dyDescent="0.3">
      <c r="A52" s="1">
        <v>67597</v>
      </c>
      <c r="B52" s="1">
        <v>14156</v>
      </c>
      <c r="C52" s="1">
        <v>289</v>
      </c>
      <c r="D52" s="1">
        <v>204</v>
      </c>
      <c r="E52" s="1">
        <v>885</v>
      </c>
      <c r="F52" s="1">
        <v>853</v>
      </c>
      <c r="G52" s="1">
        <f t="shared" si="5"/>
        <v>10845.71666125485</v>
      </c>
      <c r="H52" s="1">
        <f t="shared" si="6"/>
        <v>112.3127011979584</v>
      </c>
      <c r="I52" s="1">
        <f t="shared" si="7"/>
        <v>112.3127011979584</v>
      </c>
      <c r="J52" s="1">
        <f t="shared" si="8"/>
        <v>1013.9549999999999</v>
      </c>
      <c r="K52" s="1">
        <f t="shared" si="9"/>
        <v>811.16399999999999</v>
      </c>
    </row>
    <row r="53" spans="1:11" x14ac:dyDescent="0.3">
      <c r="A53" s="1">
        <v>68676</v>
      </c>
      <c r="B53" s="1">
        <v>17531</v>
      </c>
      <c r="C53" s="1">
        <v>408</v>
      </c>
      <c r="D53" s="1">
        <v>261</v>
      </c>
      <c r="E53" s="1">
        <v>1012</v>
      </c>
      <c r="F53" s="1">
        <v>877</v>
      </c>
      <c r="G53" s="1">
        <f t="shared" si="5"/>
        <v>11034.528931075432</v>
      </c>
      <c r="H53" s="1">
        <f t="shared" si="6"/>
        <v>112.47262874589089</v>
      </c>
      <c r="I53" s="1">
        <f t="shared" si="7"/>
        <v>112.47262874589089</v>
      </c>
      <c r="J53" s="1">
        <f t="shared" si="8"/>
        <v>1030.1399999999999</v>
      </c>
      <c r="K53" s="1">
        <f t="shared" si="9"/>
        <v>824.11199999999997</v>
      </c>
    </row>
    <row r="54" spans="1:11" x14ac:dyDescent="0.3">
      <c r="A54" s="1">
        <v>70631</v>
      </c>
      <c r="B54" s="1">
        <v>17123</v>
      </c>
      <c r="C54" s="1">
        <v>416</v>
      </c>
      <c r="D54" s="1">
        <v>327</v>
      </c>
      <c r="E54" s="1">
        <v>1013</v>
      </c>
      <c r="F54" s="1">
        <v>874</v>
      </c>
      <c r="G54" s="1">
        <f t="shared" si="5"/>
        <v>11377.25129912235</v>
      </c>
      <c r="H54" s="1">
        <f t="shared" si="6"/>
        <v>112.75609731400723</v>
      </c>
      <c r="I54" s="1">
        <f t="shared" si="7"/>
        <v>112.75609731400723</v>
      </c>
      <c r="J54" s="1">
        <f t="shared" si="8"/>
        <v>1059.4649999999999</v>
      </c>
      <c r="K54" s="1">
        <f t="shared" si="9"/>
        <v>847.572</v>
      </c>
    </row>
    <row r="55" spans="1:11" x14ac:dyDescent="0.3">
      <c r="A55" s="1">
        <v>72227</v>
      </c>
      <c r="B55" s="1">
        <v>27333</v>
      </c>
      <c r="C55" s="1">
        <v>547</v>
      </c>
      <c r="D55" s="1">
        <v>441</v>
      </c>
      <c r="E55" s="1">
        <v>1658</v>
      </c>
      <c r="F55" s="1">
        <v>1485</v>
      </c>
      <c r="G55" s="1">
        <f t="shared" si="5"/>
        <v>11657.61882094447</v>
      </c>
      <c r="H55" s="1">
        <f t="shared" si="6"/>
        <v>112.9817543946326</v>
      </c>
      <c r="I55" s="1">
        <f t="shared" si="7"/>
        <v>112.9817543946326</v>
      </c>
      <c r="J55" s="1">
        <f t="shared" si="8"/>
        <v>1083.405</v>
      </c>
      <c r="K55" s="1">
        <f t="shared" si="9"/>
        <v>866.72400000000005</v>
      </c>
    </row>
    <row r="56" spans="1:11" x14ac:dyDescent="0.3">
      <c r="A56" s="1">
        <v>77305</v>
      </c>
      <c r="B56" s="1">
        <v>16328</v>
      </c>
      <c r="C56" s="1">
        <v>339</v>
      </c>
      <c r="D56" s="1">
        <v>218</v>
      </c>
      <c r="E56" s="1">
        <v>1023</v>
      </c>
      <c r="F56" s="1">
        <v>976</v>
      </c>
      <c r="G56" s="1">
        <f t="shared" si="5"/>
        <v>12552.997799654397</v>
      </c>
      <c r="H56" s="1">
        <f t="shared" si="6"/>
        <v>113.66791876021057</v>
      </c>
      <c r="I56" s="1">
        <f t="shared" si="7"/>
        <v>113.66791876021057</v>
      </c>
      <c r="J56" s="1">
        <f t="shared" si="8"/>
        <v>1159.575</v>
      </c>
      <c r="K56" s="1">
        <f t="shared" si="9"/>
        <v>927.66</v>
      </c>
    </row>
    <row r="57" spans="1:11" x14ac:dyDescent="0.3">
      <c r="A57" s="1">
        <v>79491</v>
      </c>
      <c r="B57" s="1">
        <v>30268</v>
      </c>
      <c r="C57" s="1">
        <v>724</v>
      </c>
      <c r="D57" s="1">
        <v>759</v>
      </c>
      <c r="E57" s="1">
        <v>11552</v>
      </c>
      <c r="F57" s="1">
        <v>2364</v>
      </c>
      <c r="G57" s="1">
        <f t="shared" si="5"/>
        <v>12939.945540502002</v>
      </c>
      <c r="H57" s="1">
        <f t="shared" si="6"/>
        <v>113.94952734713868</v>
      </c>
      <c r="I57" s="1">
        <f t="shared" si="7"/>
        <v>113.94952734713868</v>
      </c>
      <c r="J57" s="1">
        <f t="shared" si="8"/>
        <v>1192.365</v>
      </c>
      <c r="K57" s="1">
        <f t="shared" si="9"/>
        <v>953.89200000000005</v>
      </c>
    </row>
    <row r="58" spans="1:11" x14ac:dyDescent="0.3">
      <c r="A58" s="1">
        <v>79831</v>
      </c>
      <c r="B58" s="1">
        <v>15477</v>
      </c>
      <c r="C58" s="1">
        <v>355</v>
      </c>
      <c r="D58" s="1">
        <v>217</v>
      </c>
      <c r="E58" s="1">
        <v>1003</v>
      </c>
      <c r="F58" s="1">
        <v>978</v>
      </c>
      <c r="G58" s="1">
        <f t="shared" si="5"/>
        <v>13000.208092215194</v>
      </c>
      <c r="H58" s="1">
        <f t="shared" si="6"/>
        <v>113.99263023826127</v>
      </c>
      <c r="I58" s="1">
        <f t="shared" si="7"/>
        <v>113.99263023826127</v>
      </c>
      <c r="J58" s="1">
        <f t="shared" si="8"/>
        <v>1197.4649999999999</v>
      </c>
      <c r="K58" s="1">
        <f t="shared" si="9"/>
        <v>957.97199999999998</v>
      </c>
    </row>
    <row r="59" spans="1:11" x14ac:dyDescent="0.3">
      <c r="A59" s="1">
        <v>80295</v>
      </c>
      <c r="B59" s="1">
        <v>20361</v>
      </c>
      <c r="C59" s="1">
        <v>386</v>
      </c>
      <c r="D59" s="1">
        <v>288</v>
      </c>
      <c r="E59" s="1">
        <v>1136</v>
      </c>
      <c r="F59" s="1">
        <v>1023</v>
      </c>
      <c r="G59" s="1">
        <f t="shared" si="5"/>
        <v>13082.482442810933</v>
      </c>
      <c r="H59" s="1">
        <f t="shared" si="6"/>
        <v>114.05115773046458</v>
      </c>
      <c r="I59" s="1">
        <f t="shared" si="7"/>
        <v>114.05115773046458</v>
      </c>
      <c r="J59" s="1">
        <f t="shared" si="8"/>
        <v>1204.425</v>
      </c>
      <c r="K59" s="1">
        <f t="shared" si="9"/>
        <v>963.54</v>
      </c>
    </row>
    <row r="60" spans="1:11" x14ac:dyDescent="0.3">
      <c r="A60" s="1">
        <v>80918</v>
      </c>
      <c r="B60" s="1">
        <v>15793</v>
      </c>
      <c r="C60" s="1">
        <v>250</v>
      </c>
      <c r="D60" s="1">
        <v>204</v>
      </c>
      <c r="E60" s="1">
        <v>983</v>
      </c>
      <c r="F60" s="1">
        <v>939</v>
      </c>
      <c r="G60" s="1">
        <f t="shared" si="5"/>
        <v>13193.010741873188</v>
      </c>
      <c r="H60" s="1">
        <f t="shared" si="6"/>
        <v>114.12921129181679</v>
      </c>
      <c r="I60" s="1">
        <f t="shared" si="7"/>
        <v>114.12921129181679</v>
      </c>
      <c r="J60" s="1">
        <f t="shared" si="8"/>
        <v>1213.77</v>
      </c>
      <c r="K60" s="1">
        <f t="shared" si="9"/>
        <v>971.01600000000008</v>
      </c>
    </row>
    <row r="61" spans="1:11" x14ac:dyDescent="0.3">
      <c r="A61" s="1">
        <v>82547</v>
      </c>
      <c r="B61" s="1">
        <v>18386</v>
      </c>
      <c r="C61" s="1">
        <v>348</v>
      </c>
      <c r="D61" s="1">
        <v>228</v>
      </c>
      <c r="E61" s="1">
        <v>1097</v>
      </c>
      <c r="F61" s="1">
        <v>1011</v>
      </c>
      <c r="G61" s="1">
        <f t="shared" si="5"/>
        <v>13482.342211432318</v>
      </c>
      <c r="H61" s="1">
        <f t="shared" si="6"/>
        <v>114.33049714711161</v>
      </c>
      <c r="I61" s="1">
        <f t="shared" si="7"/>
        <v>114.33049714711161</v>
      </c>
      <c r="J61" s="1">
        <f t="shared" si="8"/>
        <v>1238.2049999999999</v>
      </c>
      <c r="K61" s="1">
        <f t="shared" si="9"/>
        <v>990.56399999999996</v>
      </c>
    </row>
    <row r="62" spans="1:11" x14ac:dyDescent="0.3">
      <c r="A62" s="1">
        <v>83383</v>
      </c>
      <c r="B62" s="1">
        <v>20943</v>
      </c>
      <c r="C62" s="1">
        <v>417</v>
      </c>
      <c r="D62" s="1">
        <v>309</v>
      </c>
      <c r="E62" s="1">
        <v>1605</v>
      </c>
      <c r="F62" s="1">
        <v>1236</v>
      </c>
      <c r="G62" s="1">
        <f t="shared" si="5"/>
        <v>13631.007290206306</v>
      </c>
      <c r="H62" s="1">
        <f t="shared" si="6"/>
        <v>114.4322596110048</v>
      </c>
      <c r="I62" s="1">
        <f t="shared" si="7"/>
        <v>114.4322596110048</v>
      </c>
      <c r="J62" s="1">
        <f t="shared" si="8"/>
        <v>1250.7449999999999</v>
      </c>
      <c r="K62" s="1">
        <f t="shared" si="9"/>
        <v>1000.596</v>
      </c>
    </row>
    <row r="63" spans="1:11" x14ac:dyDescent="0.3">
      <c r="A63" s="1">
        <v>85753</v>
      </c>
      <c r="B63" s="1">
        <v>18657</v>
      </c>
      <c r="C63" s="1">
        <v>403</v>
      </c>
      <c r="D63" s="1">
        <v>282</v>
      </c>
      <c r="E63" s="1">
        <v>1271</v>
      </c>
      <c r="F63" s="1">
        <v>1100</v>
      </c>
      <c r="G63" s="1">
        <f t="shared" si="5"/>
        <v>14053.11547817077</v>
      </c>
      <c r="H63" s="1">
        <f t="shared" si="6"/>
        <v>114.7152966627353</v>
      </c>
      <c r="I63" s="1">
        <f t="shared" si="7"/>
        <v>114.7152966627353</v>
      </c>
      <c r="J63" s="1">
        <f t="shared" si="8"/>
        <v>1286.2949999999998</v>
      </c>
      <c r="K63" s="1">
        <f t="shared" si="9"/>
        <v>1029.0360000000001</v>
      </c>
    </row>
    <row r="64" spans="1:11" x14ac:dyDescent="0.3">
      <c r="A64" s="1">
        <v>85950</v>
      </c>
      <c r="B64" s="1">
        <v>24407</v>
      </c>
      <c r="C64" s="1">
        <v>419</v>
      </c>
      <c r="D64" s="1">
        <v>263</v>
      </c>
      <c r="E64" s="1">
        <v>4454</v>
      </c>
      <c r="F64" s="1">
        <v>1011</v>
      </c>
      <c r="G64" s="1">
        <f t="shared" si="5"/>
        <v>14088.24501154777</v>
      </c>
      <c r="H64" s="1">
        <f t="shared" si="6"/>
        <v>114.7384701347695</v>
      </c>
      <c r="I64" s="1">
        <f t="shared" si="7"/>
        <v>114.7384701347695</v>
      </c>
      <c r="J64" s="1">
        <f t="shared" si="8"/>
        <v>1289.25</v>
      </c>
      <c r="K64" s="1">
        <f t="shared" si="9"/>
        <v>1031.4000000000001</v>
      </c>
    </row>
    <row r="65" spans="1:11" x14ac:dyDescent="0.3">
      <c r="A65" s="1">
        <v>89856</v>
      </c>
      <c r="B65" s="1">
        <v>22827</v>
      </c>
      <c r="C65" s="1">
        <v>379</v>
      </c>
      <c r="D65" s="1">
        <v>243</v>
      </c>
      <c r="E65" s="1">
        <v>1154</v>
      </c>
      <c r="F65" s="1">
        <v>1106</v>
      </c>
      <c r="G65" s="1">
        <f t="shared" si="5"/>
        <v>14786.098827076867</v>
      </c>
      <c r="H65" s="1">
        <f t="shared" si="6"/>
        <v>115.18729054213193</v>
      </c>
      <c r="I65" s="1">
        <f t="shared" si="7"/>
        <v>115.18729054213193</v>
      </c>
      <c r="J65" s="1">
        <f t="shared" si="8"/>
        <v>1347.84</v>
      </c>
      <c r="K65" s="1">
        <f t="shared" si="9"/>
        <v>1078.2719999999999</v>
      </c>
    </row>
    <row r="66" spans="1:11" x14ac:dyDescent="0.3">
      <c r="A66" s="1">
        <v>91526</v>
      </c>
      <c r="B66" s="1">
        <v>18214</v>
      </c>
      <c r="C66" s="1">
        <v>353</v>
      </c>
      <c r="D66" s="1">
        <v>209</v>
      </c>
      <c r="E66" s="1">
        <v>1127</v>
      </c>
      <c r="F66" s="1">
        <v>1131</v>
      </c>
      <c r="G66" s="1">
        <f t="shared" ref="G66:G71" si="10">A66*LOG(A66,2)*0.01</f>
        <v>15085.218312366258</v>
      </c>
      <c r="H66" s="1">
        <f t="shared" ref="H66:H71" si="11">LOG(A66,2)*7</f>
        <v>115.37325807591702</v>
      </c>
      <c r="I66" s="1">
        <f t="shared" ref="I66:I71" si="12">LOG(A66,2)*7</f>
        <v>115.37325807591702</v>
      </c>
      <c r="J66" s="1">
        <f t="shared" ref="J66:J71" si="13">A66*0.015</f>
        <v>1372.8899999999999</v>
      </c>
      <c r="K66" s="1">
        <f t="shared" ref="K66:K71" si="14">A66*0.012</f>
        <v>1098.3120000000001</v>
      </c>
    </row>
    <row r="67" spans="1:11" x14ac:dyDescent="0.3">
      <c r="A67" s="1">
        <v>92048</v>
      </c>
      <c r="B67" s="1">
        <v>23997</v>
      </c>
      <c r="C67" s="1">
        <v>407</v>
      </c>
      <c r="D67" s="1">
        <v>253</v>
      </c>
      <c r="E67" s="1">
        <v>1207</v>
      </c>
      <c r="F67" s="1">
        <v>1156</v>
      </c>
      <c r="G67" s="1">
        <f t="shared" si="10"/>
        <v>15178.806101895845</v>
      </c>
      <c r="H67" s="1">
        <f t="shared" si="11"/>
        <v>115.43069128418968</v>
      </c>
      <c r="I67" s="1">
        <f t="shared" si="12"/>
        <v>115.43069128418968</v>
      </c>
      <c r="J67" s="1">
        <f t="shared" si="13"/>
        <v>1380.72</v>
      </c>
      <c r="K67" s="1">
        <f t="shared" si="14"/>
        <v>1104.576</v>
      </c>
    </row>
    <row r="68" spans="1:11" x14ac:dyDescent="0.3">
      <c r="A68" s="1">
        <v>92742</v>
      </c>
      <c r="B68" s="1">
        <v>29381</v>
      </c>
      <c r="C68" s="1">
        <v>691</v>
      </c>
      <c r="D68" s="1">
        <v>618</v>
      </c>
      <c r="E68" s="1">
        <v>3368</v>
      </c>
      <c r="F68" s="1">
        <v>3240</v>
      </c>
      <c r="G68" s="1">
        <f t="shared" si="10"/>
        <v>15303.297340441346</v>
      </c>
      <c r="H68" s="1">
        <f t="shared" si="11"/>
        <v>115.50654653025535</v>
      </c>
      <c r="I68" s="1">
        <f t="shared" si="12"/>
        <v>115.50654653025535</v>
      </c>
      <c r="J68" s="1">
        <f t="shared" si="13"/>
        <v>1391.1299999999999</v>
      </c>
      <c r="K68" s="1">
        <f t="shared" si="14"/>
        <v>1112.904</v>
      </c>
    </row>
    <row r="69" spans="1:11" x14ac:dyDescent="0.3">
      <c r="A69" s="1">
        <v>97993</v>
      </c>
      <c r="B69" s="1">
        <v>26904</v>
      </c>
      <c r="C69" s="1">
        <v>428</v>
      </c>
      <c r="D69" s="1">
        <v>266</v>
      </c>
      <c r="E69" s="1">
        <v>1806</v>
      </c>
      <c r="F69" s="1">
        <v>1387</v>
      </c>
      <c r="G69" s="1">
        <f t="shared" si="10"/>
        <v>16247.622626566696</v>
      </c>
      <c r="H69" s="1">
        <f t="shared" si="11"/>
        <v>116.06273752815699</v>
      </c>
      <c r="I69" s="1">
        <f t="shared" si="12"/>
        <v>116.06273752815699</v>
      </c>
      <c r="J69" s="1">
        <f t="shared" si="13"/>
        <v>1469.895</v>
      </c>
      <c r="K69" s="1">
        <f t="shared" si="14"/>
        <v>1175.9159999999999</v>
      </c>
    </row>
    <row r="70" spans="1:11" x14ac:dyDescent="0.3">
      <c r="A70" s="1">
        <v>98340</v>
      </c>
      <c r="B70" s="1">
        <v>20328</v>
      </c>
      <c r="C70" s="1">
        <v>298</v>
      </c>
      <c r="D70" s="1">
        <v>261</v>
      </c>
      <c r="E70" s="1">
        <v>1365</v>
      </c>
      <c r="F70" s="1">
        <v>1289</v>
      </c>
      <c r="G70" s="1">
        <f t="shared" si="10"/>
        <v>16310.171588511826</v>
      </c>
      <c r="H70" s="1">
        <f t="shared" si="11"/>
        <v>116.09843514295585</v>
      </c>
      <c r="I70" s="1">
        <f t="shared" si="12"/>
        <v>116.09843514295585</v>
      </c>
      <c r="J70" s="1">
        <f t="shared" si="13"/>
        <v>1475.1</v>
      </c>
      <c r="K70" s="1">
        <f t="shared" si="14"/>
        <v>1180.08</v>
      </c>
    </row>
    <row r="71" spans="1:11" x14ac:dyDescent="0.3">
      <c r="A71" s="1">
        <v>98973</v>
      </c>
      <c r="B71" s="1">
        <v>28780</v>
      </c>
      <c r="C71" s="1">
        <v>434</v>
      </c>
      <c r="D71" s="1">
        <v>349</v>
      </c>
      <c r="E71" s="1">
        <v>1888</v>
      </c>
      <c r="F71" s="1">
        <v>1294</v>
      </c>
      <c r="G71" s="1">
        <f t="shared" si="10"/>
        <v>16424.319333111198</v>
      </c>
      <c r="H71" s="1">
        <f t="shared" si="11"/>
        <v>116.1632317215588</v>
      </c>
      <c r="I71" s="1">
        <f t="shared" si="12"/>
        <v>116.1632317215588</v>
      </c>
      <c r="J71" s="1">
        <f t="shared" si="13"/>
        <v>1484.595</v>
      </c>
      <c r="K71" s="1">
        <f t="shared" si="14"/>
        <v>1187.6759999999999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results_rb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2026-05-13T20:43:22Z</dcterms:modified>
</cp:coreProperties>
</file>